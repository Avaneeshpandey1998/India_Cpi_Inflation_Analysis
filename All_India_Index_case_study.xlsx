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User\Desktop\Case Study\"/>
    </mc:Choice>
  </mc:AlternateContent>
  <xr:revisionPtr revIDLastSave="0" documentId="13_ncr:1_{A4356E61-832D-4A99-A4E2-7DE1133CDA77}" xr6:coauthVersionLast="47" xr6:coauthVersionMax="47" xr10:uidLastSave="{00000000-0000-0000-0000-000000000000}"/>
  <bookViews>
    <workbookView xWindow="-120" yWindow="-120" windowWidth="20730" windowHeight="11160" firstSheet="1" activeTab="1" xr2:uid="{4D24029A-31D1-4016-976D-DFBD3FBF51E7}"/>
  </bookViews>
  <sheets>
    <sheet name="All_India_Index_Upto_April23" sheetId="1" r:id="rId1"/>
    <sheet name="All_India_Index_Upto_April copy" sheetId="3" r:id="rId2"/>
    <sheet name="Question-1" sheetId="2" r:id="rId3"/>
    <sheet name="Question-2.0" sheetId="9" r:id="rId4"/>
    <sheet name="DASHBOARD" sheetId="10" r:id="rId5"/>
    <sheet name="Question-2" sheetId="4" state="hidden" r:id="rId6"/>
    <sheet name="Question-3" sheetId="5" r:id="rId7"/>
    <sheet name="Question-4" sheetId="6" r:id="rId8"/>
    <sheet name="Question-5" sheetId="7" r:id="rId9"/>
  </sheets>
  <definedNames>
    <definedName name="_xlnm._FilterDatabase" localSheetId="1" hidden="1">'All_India_Index_Upto_April copy'!$A$1:$AE$373</definedName>
    <definedName name="_xlnm._FilterDatabase" localSheetId="0" hidden="1">All_India_Index_Upto_April23!$A$1:$AD$373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2" l="1"/>
  <c r="M10" i="2"/>
  <c r="M9" i="2"/>
  <c r="M7" i="2"/>
  <c r="M17" i="2"/>
  <c r="I17" i="2"/>
  <c r="F35" i="7"/>
  <c r="G35" i="7"/>
  <c r="H35" i="7"/>
  <c r="I35" i="7"/>
  <c r="J35" i="7"/>
  <c r="K35" i="7"/>
  <c r="L35" i="7"/>
  <c r="M35" i="7"/>
  <c r="N35" i="7"/>
  <c r="O35" i="7"/>
  <c r="P35" i="7"/>
  <c r="Q35" i="7"/>
  <c r="R35" i="7"/>
  <c r="S35" i="7"/>
  <c r="T35" i="7"/>
  <c r="U35" i="7"/>
  <c r="V35" i="7"/>
  <c r="W35" i="7"/>
  <c r="X35" i="7"/>
  <c r="Y35" i="7"/>
  <c r="Z35" i="7"/>
  <c r="AA35" i="7"/>
  <c r="AB35" i="7"/>
  <c r="AC35" i="7"/>
  <c r="AD35" i="7"/>
  <c r="E35" i="7"/>
  <c r="Q17" i="2" l="1"/>
  <c r="E11" i="6" l="1"/>
  <c r="F11" i="6"/>
  <c r="D11" i="6"/>
  <c r="E12" i="6"/>
  <c r="F12" i="6"/>
  <c r="D12" i="6"/>
  <c r="D36" i="5"/>
  <c r="E36" i="5"/>
  <c r="F36" i="5"/>
  <c r="G36" i="5"/>
  <c r="H36" i="5"/>
  <c r="I36" i="5"/>
  <c r="J36" i="5"/>
  <c r="K36" i="5"/>
  <c r="L36" i="5"/>
  <c r="C36" i="5"/>
  <c r="E7" i="5"/>
  <c r="D8" i="5"/>
  <c r="D9" i="5"/>
  <c r="D10" i="5"/>
  <c r="D11" i="5"/>
  <c r="D12" i="5"/>
  <c r="D13" i="5"/>
  <c r="D14" i="5"/>
  <c r="D15" i="5"/>
  <c r="D16" i="5"/>
  <c r="D17" i="5"/>
  <c r="D7" i="5"/>
  <c r="F12" i="9"/>
  <c r="F11" i="9"/>
  <c r="F10" i="9"/>
  <c r="F9" i="9"/>
  <c r="F8" i="9"/>
  <c r="R32" i="4"/>
  <c r="R33" i="4"/>
  <c r="R34" i="4"/>
  <c r="R35" i="4"/>
  <c r="R36" i="4"/>
  <c r="R37" i="4"/>
  <c r="R38" i="4"/>
  <c r="R39" i="4"/>
  <c r="R31" i="4"/>
  <c r="P32" i="4"/>
  <c r="P33" i="4"/>
  <c r="P34" i="4"/>
  <c r="P35" i="4"/>
  <c r="P36" i="4"/>
  <c r="P37" i="4"/>
  <c r="P38" i="4"/>
  <c r="P39" i="4"/>
  <c r="P31" i="4"/>
  <c r="N32" i="4"/>
  <c r="N33" i="4"/>
  <c r="N34" i="4"/>
  <c r="N35" i="4"/>
  <c r="N36" i="4"/>
  <c r="N37" i="4"/>
  <c r="N38" i="4"/>
  <c r="N39" i="4"/>
  <c r="N31" i="4"/>
  <c r="L32" i="4"/>
  <c r="L33" i="4"/>
  <c r="L34" i="4"/>
  <c r="L35" i="4"/>
  <c r="L36" i="4"/>
  <c r="L37" i="4"/>
  <c r="L38" i="4"/>
  <c r="L39" i="4"/>
  <c r="L31" i="4"/>
  <c r="J32" i="4"/>
  <c r="J33" i="4"/>
  <c r="J34" i="4"/>
  <c r="J35" i="4"/>
  <c r="J36" i="4"/>
  <c r="J37" i="4"/>
  <c r="J38" i="4"/>
  <c r="J39" i="4"/>
  <c r="J31" i="4"/>
  <c r="H32" i="4"/>
  <c r="H33" i="4"/>
  <c r="H34" i="4"/>
  <c r="H35" i="4"/>
  <c r="H36" i="4"/>
  <c r="H37" i="4"/>
  <c r="H38" i="4"/>
  <c r="H39" i="4"/>
  <c r="H31" i="4"/>
  <c r="F32" i="4"/>
  <c r="F33" i="4"/>
  <c r="F34" i="4"/>
  <c r="F35" i="4"/>
  <c r="F36" i="4"/>
  <c r="F37" i="4"/>
  <c r="F38" i="4"/>
  <c r="F39" i="4"/>
  <c r="F31" i="4"/>
  <c r="R20" i="4"/>
  <c r="R21" i="4"/>
  <c r="R22" i="4"/>
  <c r="R23" i="4"/>
  <c r="R24" i="4"/>
  <c r="R25" i="4"/>
  <c r="R26" i="4"/>
  <c r="R27" i="4"/>
  <c r="R19" i="4"/>
  <c r="P20" i="4"/>
  <c r="P21" i="4"/>
  <c r="P22" i="4"/>
  <c r="P23" i="4"/>
  <c r="P24" i="4"/>
  <c r="P25" i="4"/>
  <c r="P26" i="4"/>
  <c r="P27" i="4"/>
  <c r="P19" i="4"/>
  <c r="N20" i="4"/>
  <c r="N21" i="4"/>
  <c r="N22" i="4"/>
  <c r="N23" i="4"/>
  <c r="N24" i="4"/>
  <c r="N25" i="4"/>
  <c r="N26" i="4"/>
  <c r="N27" i="4"/>
  <c r="N19" i="4"/>
  <c r="L20" i="4"/>
  <c r="L21" i="4"/>
  <c r="L22" i="4"/>
  <c r="L23" i="4"/>
  <c r="L24" i="4"/>
  <c r="L25" i="4"/>
  <c r="L26" i="4"/>
  <c r="L27" i="4"/>
  <c r="L19" i="4"/>
  <c r="J20" i="4"/>
  <c r="J21" i="4"/>
  <c r="J22" i="4"/>
  <c r="J23" i="4"/>
  <c r="J24" i="4"/>
  <c r="J25" i="4"/>
  <c r="J26" i="4"/>
  <c r="J27" i="4"/>
  <c r="J19" i="4"/>
  <c r="H20" i="4"/>
  <c r="H21" i="4"/>
  <c r="H22" i="4"/>
  <c r="H23" i="4"/>
  <c r="H24" i="4"/>
  <c r="H25" i="4"/>
  <c r="H26" i="4"/>
  <c r="H27" i="4"/>
  <c r="H19" i="4"/>
  <c r="F20" i="4"/>
  <c r="F21" i="4"/>
  <c r="F22" i="4"/>
  <c r="F23" i="4"/>
  <c r="F24" i="4"/>
  <c r="F25" i="4"/>
  <c r="F26" i="4"/>
  <c r="F27" i="4"/>
  <c r="F19" i="4"/>
  <c r="H12" i="4"/>
  <c r="H13" i="4"/>
  <c r="P8" i="4"/>
  <c r="P9" i="4"/>
  <c r="P10" i="4"/>
  <c r="P11" i="4"/>
  <c r="P12" i="4"/>
  <c r="P13" i="4"/>
  <c r="P14" i="4"/>
  <c r="P15" i="4"/>
  <c r="P7" i="4"/>
  <c r="N8" i="4"/>
  <c r="N9" i="4"/>
  <c r="N10" i="4"/>
  <c r="N11" i="4"/>
  <c r="N12" i="4"/>
  <c r="N13" i="4"/>
  <c r="N14" i="4"/>
  <c r="N15" i="4"/>
  <c r="N7" i="4"/>
  <c r="J8" i="4"/>
  <c r="J9" i="4"/>
  <c r="J10" i="4"/>
  <c r="J11" i="4"/>
  <c r="J12" i="4"/>
  <c r="J13" i="4"/>
  <c r="J14" i="4"/>
  <c r="J15" i="4"/>
  <c r="J7" i="4"/>
  <c r="L8" i="4"/>
  <c r="L9" i="4"/>
  <c r="L10" i="4"/>
  <c r="L11" i="4"/>
  <c r="L12" i="4"/>
  <c r="L13" i="4"/>
  <c r="L14" i="4"/>
  <c r="L15" i="4"/>
  <c r="L7" i="4"/>
  <c r="H8" i="4"/>
  <c r="H9" i="4"/>
  <c r="H10" i="4"/>
  <c r="H11" i="4"/>
  <c r="H14" i="4"/>
  <c r="H15" i="4"/>
  <c r="H7" i="4"/>
  <c r="F8" i="4"/>
  <c r="F9" i="4"/>
  <c r="F10" i="4"/>
  <c r="F11" i="4"/>
  <c r="F12" i="4"/>
  <c r="F13" i="4"/>
  <c r="F14" i="4"/>
  <c r="F15" i="4"/>
  <c r="F7" i="4"/>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2" i="3"/>
</calcChain>
</file>

<file path=xl/sharedStrings.xml><?xml version="1.0" encoding="utf-8"?>
<sst xmlns="http://schemas.openxmlformats.org/spreadsheetml/2006/main" count="2177" uniqueCount="98">
  <si>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</si>
  <si>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</si>
  <si>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</si>
  <si>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</si>
  <si>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</si>
  <si>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</si>
  <si>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</si>
  <si>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</si>
  <si>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</si>
  <si>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</si>
  <si>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</si>
  <si>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</si>
  <si>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</si>
  <si>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</si>
  <si>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</si>
  <si>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</si>
  <si>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</si>
  <si>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</si>
  <si>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</si>
  <si>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</si>
  <si>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</si>
  <si>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</si>
  <si>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</si>
  <si>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</si>
  <si>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</si>
  <si>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</si>
  <si>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</si>
  <si>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</si>
  <si>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</si>
  <si>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</si>
  <si>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</si>
  <si>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</si>
  <si>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</si>
  <si>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</si>
  <si>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</si>
  <si>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</si>
  <si>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</si>
  <si>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</si>
  <si>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</si>
  <si>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</si>
  <si>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</si>
  <si>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</si>
  <si>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</si>
  <si>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</si>
  <si>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</si>
  <si>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</si>
  <si>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</si>
  <si>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</si>
  <si>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</si>
  <si>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</si>
  <si>
    <t>2. A trend of Y-o-Y increase in CPI (rural + urban) inflation starting 2017 for the entire basket of products combined.</t>
  </si>
  <si>
    <t>Create a graph depicting the growth rate Y-o-Y and identify the year with highest inflation rate</t>
  </si>
  <si>
    <t>Highlight the reason why the year has the highest inflation (based on research).</t>
  </si>
  <si>
    <t>3. With India’s retail inflation reaching a 3-month high of 5.55% in November 2023, largely due to a sharp rise in food prices. Analyze the following for 12 months ending May’23</t>
  </si>
  <si>
    <t>Investigate trends in the prices of broader food bucket category and evaluate month-on-month changes. Highlight month with highest and lowest food inflation</t>
  </si>
  <si>
    <t>Identify the absolute changes in inflation over these 12 months period and identify the biggest individual category contributor (only within broader food category) towards inflation</t>
  </si>
  <si>
    <t>4. Investigate how the onset and progression of the COVID-19 pandemic affected inflation rates in India. Analyze the impact of key pandemic milestones (first lockdown) on the CPI inflation %, especially focus on categories like healthcare, food, and essential services.</t>
  </si>
  <si>
    <t>Hint: You can consider Mar’20 as the onset of COVID, and can compare the inflation trend before and after Mar’20 to see if there is a change in inflation %.</t>
  </si>
  <si>
    <t>5. Investigate how major global economic events (like imported crude oil price fluctuations) have influenced India’s inflation. This can include an analysis of imported goods and their price trends.</t>
  </si>
  <si>
    <t>For the purpose of this analysis, focus only on the imported oil price fluctuations for years 2021 to 2023 (Month-on-month)</t>
  </si>
  <si>
    <t>Identify trends in oil price change with change in inflation prices of all the categories and identify category whose inflation prices strongly changes with fluctuations in imported oil price (Hint: you can use =correl function)</t>
  </si>
  <si>
    <t>Which broader category has the highest contribution towards CPI calculation</t>
  </si>
  <si>
    <t>Contribution is calculated by evaluating the underlying index values for broader category and should add to 100% when contribution from different broader categories are added.</t>
  </si>
  <si>
    <t xml:space="preserve">Food </t>
  </si>
  <si>
    <t>Broader Category</t>
  </si>
  <si>
    <t>Contribution (%)</t>
  </si>
  <si>
    <t>Inflation %</t>
  </si>
  <si>
    <t>Inflation %
of Food &amp; beverages</t>
  </si>
  <si>
    <t>Inflation %
of Clothing &amp; Footwear</t>
  </si>
  <si>
    <t xml:space="preserve">Inflation %
of Fuel &amp; Light </t>
  </si>
  <si>
    <t>Inflation %
 of Health</t>
  </si>
  <si>
    <t>Inflation %
 of Transport &amp; communication</t>
  </si>
  <si>
    <t>Inflation % 
of Education</t>
  </si>
  <si>
    <t>Prepared meals, s149.08cks, sweets etc.</t>
  </si>
  <si>
    <t>Perso133.35l care and effects</t>
  </si>
  <si>
    <t>* Highlight Cell is Null Value And I Took an avg of whole year as per Data Imputation</t>
  </si>
  <si>
    <t xml:space="preserve">Genral Index </t>
  </si>
  <si>
    <t xml:space="preserve">Inflation % 
</t>
  </si>
  <si>
    <t xml:space="preserve">* In year 2021 has highest Inflation Rate . It can be seen that CPI for each category of products has increased significantly. This may be attributed to the Covid situtation easing out post 2020. </t>
  </si>
  <si>
    <t xml:space="preserve">The Price of commodities would have increased after normalisation leading to increaded demand. </t>
  </si>
  <si>
    <t>Absolute Inflation %</t>
  </si>
  <si>
    <t>* The biggest Individual category contributer towords inflation are the Spices where absolute inflation percentage was 16.52%.</t>
  </si>
  <si>
    <t>* The highest month on month Inflation perentage is 0.85% in May 2023 and lowest inflation percentage is -0.95% in February 2023.</t>
  </si>
  <si>
    <t>*And the absolute change inflation over the 12 month period is 1.44%.</t>
  </si>
  <si>
    <t>Onset</t>
  </si>
  <si>
    <t>Progression</t>
  </si>
  <si>
    <t>Assumption :- Finesical year starts an April.</t>
  </si>
  <si>
    <t xml:space="preserve">Crude Oil </t>
  </si>
  <si>
    <t>CORREL</t>
  </si>
  <si>
    <t>Category</t>
  </si>
  <si>
    <t xml:space="preserve">FOOD </t>
  </si>
  <si>
    <t>CPI Index Value
Rural + Urban</t>
  </si>
  <si>
    <t xml:space="preserve">CPI Index Value
Rural </t>
  </si>
  <si>
    <t>CPI Index Value
Urban</t>
  </si>
  <si>
    <t>Tobacco</t>
  </si>
  <si>
    <t>Clothing and
 footwear</t>
  </si>
  <si>
    <t>Housing &amp;
 Energy</t>
  </si>
  <si>
    <t>Rural + Urban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</si>
</sst>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sz val="11"/>
      <name val="Times New Roman"/>
      <family val="1"/>
    </font>
    <font>
      <sz val="12"/>
      <name val="Arial"/>
      <family val="2"/>
    </font>
    <font>
      <sz val="8"/>
      <name val="Calibri"/>
      <family val="2"/>
      <scheme val="minor"/>
    </font>
    <font>
      <b/>
      <sz val="12"/>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8" fillId="0" borderId="0"/>
    <xf numFmtId="0" fontId="20" fillId="0" borderId="0"/>
  </cellStyleXfs>
  <cellXfs count="39">
    <xf numFmtId="0" fontId="0" fillId="0" borderId="0" xfId="0"/>
    <xf numFmtId="0" fontId="16" fillId="0" borderId="0" xfId="0" applyFont="1"/>
    <xf numFmtId="0" fontId="0" fillId="0" borderId="0" xfId="0" applyAlignment="1">
      <alignment horizontal="left" vertical="center" indent="1"/>
    </xf>
    <xf numFmtId="0" fontId="16" fillId="0" borderId="0" xfId="0" applyFont="1" applyAlignment="1">
      <alignment horizontal="center" vertical="center" wrapText="1"/>
    </xf>
    <xf numFmtId="0" fontId="16" fillId="0" borderId="10" xfId="0" applyFont="1" applyBorder="1" applyAlignment="1">
      <alignment horizontal="center" vertical="center" wrapText="1"/>
    </xf>
    <xf numFmtId="0" fontId="0" fillId="0" borderId="10" xfId="0" applyBorder="1"/>
    <xf numFmtId="0" fontId="16" fillId="0" borderId="10" xfId="0" applyFont="1" applyBorder="1" applyAlignment="1">
      <alignment horizontal="center"/>
    </xf>
    <xf numFmtId="0" fontId="0" fillId="0" borderId="10" xfId="0" applyBorder="1" applyAlignment="1">
      <alignment horizontal="center"/>
    </xf>
    <xf numFmtId="10" fontId="0" fillId="0" borderId="10" xfId="42" applyNumberFormat="1" applyFont="1" applyBorder="1" applyAlignment="1">
      <alignment horizontal="center"/>
    </xf>
    <xf numFmtId="0" fontId="0" fillId="0" borderId="0" xfId="0" applyAlignment="1">
      <alignment horizontal="center" vertical="center"/>
    </xf>
    <xf numFmtId="9" fontId="0" fillId="0" borderId="10" xfId="42" applyFont="1" applyBorder="1"/>
    <xf numFmtId="0" fontId="0" fillId="0" borderId="10" xfId="0" applyBorder="1" applyAlignment="1">
      <alignment horizontal="center" vertical="center"/>
    </xf>
    <xf numFmtId="9" fontId="0" fillId="0" borderId="10" xfId="42" applyFont="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vertical="center"/>
    </xf>
    <xf numFmtId="9" fontId="0" fillId="0" borderId="10" xfId="42" applyFont="1" applyBorder="1" applyAlignment="1">
      <alignment vertical="center"/>
    </xf>
    <xf numFmtId="9" fontId="0" fillId="0" borderId="10" xfId="42" applyFont="1" applyBorder="1" applyAlignment="1">
      <alignment horizontal="center" vertical="center" wrapText="1"/>
    </xf>
    <xf numFmtId="0" fontId="0" fillId="0" borderId="0" xfId="0" applyAlignment="1">
      <alignment horizontal="center" vertical="center" wrapText="1"/>
    </xf>
    <xf numFmtId="9" fontId="0" fillId="0" borderId="0" xfId="42" applyFont="1" applyBorder="1" applyAlignment="1">
      <alignment horizontal="center" vertical="center"/>
    </xf>
    <xf numFmtId="0" fontId="0" fillId="34" borderId="0" xfId="0" applyFill="1" applyAlignment="1">
      <alignment horizontal="center" vertical="center"/>
    </xf>
    <xf numFmtId="9" fontId="0" fillId="34" borderId="0" xfId="42" applyFont="1" applyFill="1" applyBorder="1" applyAlignment="1">
      <alignment horizontal="center" vertical="center"/>
    </xf>
    <xf numFmtId="9" fontId="0" fillId="35" borderId="10" xfId="42" applyFont="1" applyFill="1" applyBorder="1" applyAlignment="1">
      <alignment horizontal="center" vertical="center"/>
    </xf>
    <xf numFmtId="0" fontId="0" fillId="35" borderId="10" xfId="0" applyFill="1" applyBorder="1" applyAlignment="1">
      <alignment horizontal="center" vertical="center"/>
    </xf>
    <xf numFmtId="0" fontId="0" fillId="36" borderId="0" xfId="0" applyFill="1"/>
    <xf numFmtId="164" fontId="0" fillId="0" borderId="10" xfId="42" applyNumberFormat="1" applyFont="1" applyBorder="1" applyAlignment="1">
      <alignment horizontal="center" vertical="center"/>
    </xf>
    <xf numFmtId="10" fontId="0" fillId="0" borderId="10" xfId="42" applyNumberFormat="1" applyFont="1" applyBorder="1" applyAlignment="1">
      <alignment horizontal="center" vertical="center"/>
    </xf>
    <xf numFmtId="10" fontId="0" fillId="36" borderId="10" xfId="42" applyNumberFormat="1" applyFont="1" applyFill="1" applyBorder="1" applyAlignment="1">
      <alignment horizontal="center" vertical="center"/>
    </xf>
    <xf numFmtId="0" fontId="16" fillId="0" borderId="10" xfId="0" applyFont="1" applyBorder="1" applyAlignment="1">
      <alignment horizontal="center" vertical="center"/>
    </xf>
    <xf numFmtId="10" fontId="16" fillId="35" borderId="10" xfId="42" applyNumberFormat="1" applyFont="1" applyFill="1" applyBorder="1" applyAlignment="1">
      <alignment horizontal="center"/>
    </xf>
    <xf numFmtId="1" fontId="19" fillId="34" borderId="0" xfId="43" applyNumberFormat="1" applyFont="1" applyFill="1" applyAlignment="1">
      <alignment horizontal="right"/>
    </xf>
    <xf numFmtId="0" fontId="16" fillId="35" borderId="10" xfId="0" applyFont="1" applyFill="1" applyBorder="1" applyAlignment="1">
      <alignment horizontal="center" vertical="center" wrapText="1"/>
    </xf>
    <xf numFmtId="10" fontId="16" fillId="35" borderId="10" xfId="42" applyNumberFormat="1" applyFont="1" applyFill="1" applyBorder="1" applyAlignment="1">
      <alignment horizontal="center" vertical="center"/>
    </xf>
    <xf numFmtId="164" fontId="0" fillId="35" borderId="10" xfId="42" applyNumberFormat="1" applyFont="1" applyFill="1" applyBorder="1" applyAlignment="1">
      <alignment horizontal="center" vertical="center"/>
    </xf>
    <xf numFmtId="0" fontId="22" fillId="38" borderId="10" xfId="0" applyFont="1" applyFill="1" applyBorder="1" applyAlignment="1">
      <alignment horizontal="center" vertical="center"/>
    </xf>
    <xf numFmtId="0" fontId="16" fillId="0" borderId="10" xfId="0" applyFont="1" applyBorder="1" applyAlignment="1">
      <alignment horizontal="center" vertical="center"/>
    </xf>
    <xf numFmtId="0" fontId="16" fillId="0" borderId="10" xfId="0" applyFont="1" applyBorder="1" applyAlignment="1">
      <alignment horizontal="center" vertical="center" wrapText="1"/>
    </xf>
    <xf numFmtId="0" fontId="0" fillId="33" borderId="0" xfId="0" applyFill="1" applyAlignment="1">
      <alignment horizontal="center"/>
    </xf>
    <xf numFmtId="0" fontId="16" fillId="36" borderId="0" xfId="0" applyFont="1" applyFill="1" applyAlignment="1">
      <alignment horizontal="center"/>
    </xf>
    <xf numFmtId="0" fontId="16" fillId="37" borderId="0" xfId="0" applyFont="1" applyFill="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3 5" xfId="43" xr:uid="{F0FBF8F0-0CCF-4A5C-B085-58709EE78F35}"/>
    <cellStyle name="Normal 259" xfId="44" xr:uid="{DE6F9DF5-381F-4BDF-A328-6AEDD0C678DF}"/>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u="sng"/>
              <a:t>Rural</a:t>
            </a:r>
            <a:r>
              <a:rPr lang="en-IN" u="sng" baseline="0"/>
              <a:t> + URBAN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BB6-49EF-823B-B504FE03586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BB6-49EF-823B-B504FE03586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BB6-49EF-823B-B504FE03586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BB6-49EF-823B-B504FE03586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BB6-49EF-823B-B504FE035867}"/>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BB6-49EF-823B-B504FE035867}"/>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BB6-49EF-823B-B504FE035867}"/>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BB6-49EF-823B-B504FE035867}"/>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BB6-49EF-823B-B504FE035867}"/>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BB6-49EF-823B-B504FE03586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BB6-49EF-823B-B504FE03586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2BB6-49EF-823B-B504FE03586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BB6-49EF-823B-B504FE03586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2BB6-49EF-823B-B504FE03586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BB6-49EF-823B-B504FE03586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2BB6-49EF-823B-B504FE03586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2BB6-49EF-823B-B504FE03586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2BB6-49EF-823B-B504FE03586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2BB6-49EF-823B-B504FE035867}"/>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2BB6-49EF-823B-B504FE03586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'Question-1'!$H$7:$H$16</c:f>
              <c:strCache>
                <c:ptCount val="10"/>
                <c:pt idx="0">
                  <c:v>FOOD </c:v>
                </c:pt>
                <c:pt idx="1">
                  <c:v>Tobacco</c:v>
                </c:pt>
                <c:pt idx="2">
                  <c:v>Clothing and
 footwear</c:v>
                </c:pt>
                <c:pt idx="3">
                  <c:v>Housing &amp;
 Energy</c:v>
                </c:pt>
                <c:pt idx="4">
                  <c:v>Health</c:v>
                </c:pt>
                <c:pt idx="5">
                  <c:v>Transport and communication</c:v>
                </c:pt>
                <c:pt idx="6">
                  <c:v>Recreation and amusement</c:v>
                </c:pt>
                <c:pt idx="7">
                  <c:v>Education</c:v>
                </c:pt>
                <c:pt idx="8">
                  <c:v>Personal care and effects</c:v>
                </c:pt>
                <c:pt idx="9">
                  <c:v>Miscellaneous</c:v>
                </c:pt>
              </c:strCache>
            </c:strRef>
          </c:cat>
          <c:val>
            <c:numRef>
              <c:f>'Question-1'!$J$7:$J$16</c:f>
              <c:numCache>
                <c:formatCode>0.0%</c:formatCode>
                <c:ptCount val="10"/>
                <c:pt idx="0">
                  <c:v>0.49563853557923682</c:v>
                </c:pt>
                <c:pt idx="1">
                  <c:v>4.3184943279477479E-2</c:v>
                </c:pt>
                <c:pt idx="2">
                  <c:v>0.11885527672739772</c:v>
                </c:pt>
                <c:pt idx="3">
                  <c:v>0.11464420763148846</c:v>
                </c:pt>
                <c:pt idx="4">
                  <c:v>3.9897731179099338E-2</c:v>
                </c:pt>
                <c:pt idx="5">
                  <c:v>3.5407356479889997E-2</c:v>
                </c:pt>
                <c:pt idx="6">
                  <c:v>3.6782399449982808E-2</c:v>
                </c:pt>
                <c:pt idx="7">
                  <c:v>3.8050017188037119E-2</c:v>
                </c:pt>
                <c:pt idx="8">
                  <c:v>3.9790305947060838E-2</c:v>
                </c:pt>
                <c:pt idx="9">
                  <c:v>3.7749226538329315E-2</c:v>
                </c:pt>
              </c:numCache>
            </c:numRef>
          </c:val>
          <c:extLst>
            <c:ext xmlns:c16="http://schemas.microsoft.com/office/drawing/2014/chart" uri="{C3380CC4-5D6E-409C-BE32-E72D297353CC}">
              <c16:uniqueId val="{00000000-2BB6-49EF-823B-B504FE03586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u="sng"/>
              <a:t>RURAL</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1FB-4AA2-8A43-89E40A67CBA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1FB-4AA2-8A43-89E40A67CBA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1FB-4AA2-8A43-89E40A67CBA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1FB-4AA2-8A43-89E40A67CBA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1FB-4AA2-8A43-89E40A67CBA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1FB-4AA2-8A43-89E40A67CBA1}"/>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1FB-4AA2-8A43-89E40A67CBA1}"/>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1FB-4AA2-8A43-89E40A67CBA1}"/>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1FB-4AA2-8A43-89E40A67CBA1}"/>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1FB-4AA2-8A43-89E40A67CBA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21FB-4AA2-8A43-89E40A67CBA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21FB-4AA2-8A43-89E40A67CBA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21FB-4AA2-8A43-89E40A67CBA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4-21FB-4AA2-8A43-89E40A67CBA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21FB-4AA2-8A43-89E40A67CBA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6-21FB-4AA2-8A43-89E40A67CBA1}"/>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21FB-4AA2-8A43-89E40A67CBA1}"/>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8-21FB-4AA2-8A43-89E40A67CBA1}"/>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21FB-4AA2-8A43-89E40A67CBA1}"/>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A-21FB-4AA2-8A43-89E40A67CBA1}"/>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'Question-1'!$L$7:$L$16</c:f>
              <c:strCache>
                <c:ptCount val="10"/>
                <c:pt idx="0">
                  <c:v>FOOD </c:v>
                </c:pt>
                <c:pt idx="1">
                  <c:v>Tobacco</c:v>
                </c:pt>
                <c:pt idx="2">
                  <c:v>Clothing and
 footwear</c:v>
                </c:pt>
                <c:pt idx="3">
                  <c:v>Housing &amp;
 Energy</c:v>
                </c:pt>
                <c:pt idx="4">
                  <c:v>Health</c:v>
                </c:pt>
                <c:pt idx="5">
                  <c:v>Transport and communication</c:v>
                </c:pt>
                <c:pt idx="6">
                  <c:v>Recreation and amusement</c:v>
                </c:pt>
                <c:pt idx="7">
                  <c:v>Education</c:v>
                </c:pt>
                <c:pt idx="8">
                  <c:v>Personal care and effects</c:v>
                </c:pt>
                <c:pt idx="9">
                  <c:v>Miscellaneous</c:v>
                </c:pt>
              </c:strCache>
            </c:strRef>
          </c:cat>
          <c:val>
            <c:numRef>
              <c:f>'Question-1'!$N$7:$N$16</c:f>
              <c:numCache>
                <c:formatCode>0.0%</c:formatCode>
                <c:ptCount val="10"/>
                <c:pt idx="0">
                  <c:v>0.4921579580611895</c:v>
                </c:pt>
                <c:pt idx="1">
                  <c:v>4.2948607768992779E-2</c:v>
                </c:pt>
                <c:pt idx="2">
                  <c:v>0.12244327947748368</c:v>
                </c:pt>
                <c:pt idx="3">
                  <c:v>7.7840323135097964E-2</c:v>
                </c:pt>
                <c:pt idx="4">
                  <c:v>4.0348917153661047E-2</c:v>
                </c:pt>
                <c:pt idx="5">
                  <c:v>3.6460123753867299E-2</c:v>
                </c:pt>
                <c:pt idx="6">
                  <c:v>3.7341010656583018E-2</c:v>
                </c:pt>
                <c:pt idx="7">
                  <c:v>3.8737538673083528E-2</c:v>
                </c:pt>
                <c:pt idx="8">
                  <c:v>3.9725850807837741E-2</c:v>
                </c:pt>
                <c:pt idx="9">
                  <c:v>3.8565658301821924E-2</c:v>
                </c:pt>
              </c:numCache>
            </c:numRef>
          </c:val>
          <c:extLst>
            <c:ext xmlns:c16="http://schemas.microsoft.com/office/drawing/2014/chart" uri="{C3380CC4-5D6E-409C-BE32-E72D297353CC}">
              <c16:uniqueId val="{00000000-21FB-4AA2-8A43-89E40A67CBA1}"/>
            </c:ext>
          </c:extLst>
        </c:ser>
        <c:dLbls>
          <c:dLblPos val="outEnd"/>
          <c:showLegendKey val="0"/>
          <c:showVal val="0"/>
          <c:showCatName val="1"/>
          <c:showSerName val="0"/>
          <c:showPercent val="0"/>
          <c:showBubbleSize val="0"/>
          <c:showLeaderLines val="1"/>
        </c:dLbls>
        <c:firstSliceAng val="0"/>
      </c:pie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u="sng"/>
              <a:t>URBAN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51A-479F-8A14-D6A50C8A1BE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51A-479F-8A14-D6A50C8A1BE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51A-479F-8A14-D6A50C8A1BE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51A-479F-8A14-D6A50C8A1BE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51A-479F-8A14-D6A50C8A1BE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51A-479F-8A14-D6A50C8A1BE1}"/>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51A-479F-8A14-D6A50C8A1BE1}"/>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D51A-479F-8A14-D6A50C8A1BE1}"/>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51A-479F-8A14-D6A50C8A1BE1}"/>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51A-479F-8A14-D6A50C8A1BE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D51A-479F-8A14-D6A50C8A1BE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D51A-479F-8A14-D6A50C8A1BE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D51A-479F-8A14-D6A50C8A1BE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4-D51A-479F-8A14-D6A50C8A1BE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D51A-479F-8A14-D6A50C8A1BE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6-D51A-479F-8A14-D6A50C8A1BE1}"/>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D51A-479F-8A14-D6A50C8A1BE1}"/>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8-D51A-479F-8A14-D6A50C8A1BE1}"/>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D51A-479F-8A14-D6A50C8A1BE1}"/>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A-D51A-479F-8A14-D6A50C8A1BE1}"/>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'Question-1'!$P$7:$P$16</c:f>
              <c:strCache>
                <c:ptCount val="10"/>
                <c:pt idx="0">
                  <c:v>FOOD </c:v>
                </c:pt>
                <c:pt idx="1">
                  <c:v>Tobacco</c:v>
                </c:pt>
                <c:pt idx="2">
                  <c:v>Clothing and
 footwear</c:v>
                </c:pt>
                <c:pt idx="3">
                  <c:v>Housing &amp;
 Energy</c:v>
                </c:pt>
                <c:pt idx="4">
                  <c:v>Health</c:v>
                </c:pt>
                <c:pt idx="5">
                  <c:v>Transport and communication</c:v>
                </c:pt>
                <c:pt idx="6">
                  <c:v>Recreation and amusement</c:v>
                </c:pt>
                <c:pt idx="7">
                  <c:v>Education</c:v>
                </c:pt>
                <c:pt idx="8">
                  <c:v>Personal care and effects</c:v>
                </c:pt>
                <c:pt idx="9">
                  <c:v>Miscellaneous</c:v>
                </c:pt>
              </c:strCache>
            </c:strRef>
          </c:cat>
          <c:val>
            <c:numRef>
              <c:f>'Question-1'!$R$7:$R$16</c:f>
              <c:numCache>
                <c:formatCode>0.0%</c:formatCode>
                <c:ptCount val="10"/>
                <c:pt idx="0">
                  <c:v>0.50169731866620826</c:v>
                </c:pt>
                <c:pt idx="1">
                  <c:v>4.3872464764523882E-2</c:v>
                </c:pt>
                <c:pt idx="2">
                  <c:v>0.11359144035751118</c:v>
                </c:pt>
                <c:pt idx="3">
                  <c:v>0.11367738054314197</c:v>
                </c:pt>
                <c:pt idx="4">
                  <c:v>3.9145754554829833E-2</c:v>
                </c:pt>
                <c:pt idx="5">
                  <c:v>3.4462014437951181E-2</c:v>
                </c:pt>
                <c:pt idx="6">
                  <c:v>3.6352698521828798E-2</c:v>
                </c:pt>
                <c:pt idx="7">
                  <c:v>3.755586112066002E-2</c:v>
                </c:pt>
                <c:pt idx="8">
                  <c:v>3.987624613269164E-2</c:v>
                </c:pt>
                <c:pt idx="9">
                  <c:v>3.686833963561361E-2</c:v>
                </c:pt>
              </c:numCache>
            </c:numRef>
          </c:val>
          <c:extLst>
            <c:ext xmlns:c16="http://schemas.microsoft.com/office/drawing/2014/chart" uri="{C3380CC4-5D6E-409C-BE32-E72D297353CC}">
              <c16:uniqueId val="{00000000-D51A-479F-8A14-D6A50C8A1BE1}"/>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'Question-2.0'!$F$6</c:f>
              <c:strCache>
                <c:ptCount val="1"/>
                <c:pt idx="0">
                  <c:v>Inflation % 
</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'Question-2.0'!$C$7:$C$12</c:f>
              <c:numCache>
                <c:formatCode>General</c:formatCode>
                <c:ptCount val="6"/>
                <c:pt idx="0">
                  <c:v>2017</c:v>
                </c:pt>
                <c:pt idx="1">
                  <c:v>2018</c:v>
                </c:pt>
                <c:pt idx="2">
                  <c:v>2020</c:v>
                </c:pt>
                <c:pt idx="3">
                  <c:v>2021</c:v>
                </c:pt>
                <c:pt idx="4">
                  <c:v>2022</c:v>
                </c:pt>
                <c:pt idx="5">
                  <c:v>2023</c:v>
                </c:pt>
              </c:numCache>
            </c:numRef>
          </c:xVal>
          <c:yVal>
            <c:numRef>
              <c:f>'Question-2.0'!$F$7:$F$12</c:f>
              <c:numCache>
                <c:formatCode>0%</c:formatCode>
                <c:ptCount val="6"/>
                <c:pt idx="1">
                  <c:v>4.5766590389016024E-2</c:v>
                </c:pt>
                <c:pt idx="2">
                  <c:v>1.7943107221006623E-2</c:v>
                </c:pt>
                <c:pt idx="3">
                  <c:v>0.13069647463456585</c:v>
                </c:pt>
                <c:pt idx="4">
                  <c:v>7.7946768060836391E-2</c:v>
                </c:pt>
                <c:pt idx="5">
                  <c:v>4.7031158142269255E-2</c:v>
                </c:pt>
              </c:numCache>
            </c:numRef>
          </c:yVal>
          <c:smooth val="0"/>
          <c:extLst>
            <c:ext xmlns:c16="http://schemas.microsoft.com/office/drawing/2014/chart" uri="{C3380CC4-5D6E-409C-BE32-E72D297353CC}">
              <c16:uniqueId val="{00000000-D55D-4CE0-B5C5-C5A9BF670D7F}"/>
            </c:ext>
          </c:extLst>
        </c:ser>
        <c:dLbls>
          <c:showLegendKey val="0"/>
          <c:showVal val="0"/>
          <c:showCatName val="0"/>
          <c:showSerName val="0"/>
          <c:showPercent val="0"/>
          <c:showBubbleSize val="0"/>
        </c:dLbls>
        <c:axId val="649311663"/>
        <c:axId val="649298703"/>
      </c:scatterChart>
      <c:valAx>
        <c:axId val="64931166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9298703"/>
        <c:crosses val="autoZero"/>
        <c:crossBetween val="midCat"/>
      </c:valAx>
      <c:valAx>
        <c:axId val="64929870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9311663"/>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'Question-2.0'!$F$6</c:f>
              <c:strCache>
                <c:ptCount val="1"/>
                <c:pt idx="0">
                  <c:v>Inflation % 
</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'Question-2.0'!$C$7:$C$12</c:f>
              <c:numCache>
                <c:formatCode>General</c:formatCode>
                <c:ptCount val="6"/>
                <c:pt idx="0">
                  <c:v>2017</c:v>
                </c:pt>
                <c:pt idx="1">
                  <c:v>2018</c:v>
                </c:pt>
                <c:pt idx="2">
                  <c:v>2020</c:v>
                </c:pt>
                <c:pt idx="3">
                  <c:v>2021</c:v>
                </c:pt>
                <c:pt idx="4">
                  <c:v>2022</c:v>
                </c:pt>
                <c:pt idx="5">
                  <c:v>2023</c:v>
                </c:pt>
              </c:numCache>
            </c:numRef>
          </c:xVal>
          <c:yVal>
            <c:numRef>
              <c:f>'Question-2.0'!$F$7:$F$12</c:f>
              <c:numCache>
                <c:formatCode>0%</c:formatCode>
                <c:ptCount val="6"/>
                <c:pt idx="1">
                  <c:v>4.5766590389016024E-2</c:v>
                </c:pt>
                <c:pt idx="2">
                  <c:v>1.7943107221006623E-2</c:v>
                </c:pt>
                <c:pt idx="3">
                  <c:v>0.13069647463456585</c:v>
                </c:pt>
                <c:pt idx="4">
                  <c:v>7.7946768060836391E-2</c:v>
                </c:pt>
                <c:pt idx="5">
                  <c:v>4.7031158142269255E-2</c:v>
                </c:pt>
              </c:numCache>
            </c:numRef>
          </c:yVal>
          <c:smooth val="0"/>
          <c:extLst>
            <c:ext xmlns:c16="http://schemas.microsoft.com/office/drawing/2014/chart" uri="{C3380CC4-5D6E-409C-BE32-E72D297353CC}">
              <c16:uniqueId val="{00000000-6912-4957-912F-EDC2E1D359B2}"/>
            </c:ext>
          </c:extLst>
        </c:ser>
        <c:dLbls>
          <c:showLegendKey val="0"/>
          <c:showVal val="0"/>
          <c:showCatName val="0"/>
          <c:showSerName val="0"/>
          <c:showPercent val="0"/>
          <c:showBubbleSize val="0"/>
        </c:dLbls>
        <c:axId val="649311663"/>
        <c:axId val="649298703"/>
      </c:scatterChart>
      <c:valAx>
        <c:axId val="64931166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9298703"/>
        <c:crosses val="autoZero"/>
        <c:crossBetween val="midCat"/>
      </c:valAx>
      <c:valAx>
        <c:axId val="64929870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9311663"/>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'Question-3'!$D$5:$D$6</c:f>
              <c:strCache>
                <c:ptCount val="2"/>
                <c:pt idx="0">
                  <c:v>Inflation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'Question-3'!$B$7:$B$17</c:f>
              <c:strCache>
                <c:ptCount val="11"/>
                <c:pt idx="0">
                  <c:v>July</c:v>
                </c:pt>
                <c:pt idx="1">
                  <c:v>August</c:v>
                </c:pt>
                <c:pt idx="2">
                  <c:v>September</c:v>
                </c:pt>
                <c:pt idx="3">
                  <c:v>October</c:v>
                </c:pt>
                <c:pt idx="4">
                  <c:v>November</c:v>
                </c:pt>
                <c:pt idx="5">
                  <c:v>December</c:v>
                </c:pt>
                <c:pt idx="6">
                  <c:v>January</c:v>
                </c:pt>
                <c:pt idx="7">
                  <c:v>February</c:v>
                </c:pt>
                <c:pt idx="8">
                  <c:v>March</c:v>
                </c:pt>
                <c:pt idx="9">
                  <c:v>April</c:v>
                </c:pt>
                <c:pt idx="10">
                  <c:v>May</c:v>
                </c:pt>
              </c:strCache>
            </c:strRef>
          </c:cat>
          <c:val>
            <c:numRef>
              <c:f>'Question-3'!$D$7:$D$17</c:f>
              <c:numCache>
                <c:formatCode>0.00%</c:formatCode>
                <c:ptCount val="11"/>
                <c:pt idx="0">
                  <c:v>1.4407561088060654E-3</c:v>
                </c:pt>
                <c:pt idx="1">
                  <c:v>5.7547332681241445E-5</c:v>
                </c:pt>
                <c:pt idx="2">
                  <c:v>4.8912417999766216E-3</c:v>
                </c:pt>
                <c:pt idx="3">
                  <c:v>7.5588386875110247E-3</c:v>
                </c:pt>
                <c:pt idx="4">
                  <c:v>-5.1150895140699196E-4</c:v>
                </c:pt>
                <c:pt idx="5">
                  <c:v>-7.0510633458430146E-3</c:v>
                </c:pt>
                <c:pt idx="6">
                  <c:v>4.1232390333295092E-3</c:v>
                </c:pt>
                <c:pt idx="7">
                  <c:v>-9.4673206341963981E-3</c:v>
                </c:pt>
                <c:pt idx="8">
                  <c:v>5.7577153385484254E-5</c:v>
                </c:pt>
                <c:pt idx="9">
                  <c:v>4.8362024296161659E-3</c:v>
                </c:pt>
                <c:pt idx="10">
                  <c:v>8.5372142325100576E-3</c:v>
                </c:pt>
              </c:numCache>
            </c:numRef>
          </c:val>
          <c:smooth val="0"/>
          <c:extLst>
            <c:ext xmlns:c16="http://schemas.microsoft.com/office/drawing/2014/chart" uri="{C3380CC4-5D6E-409C-BE32-E72D297353CC}">
              <c16:uniqueId val="{00000000-B039-46ED-A9D4-E3276D18C493}"/>
            </c:ext>
          </c:extLst>
        </c:ser>
        <c:dLbls>
          <c:showLegendKey val="0"/>
          <c:showVal val="0"/>
          <c:showCatName val="0"/>
          <c:showSerName val="0"/>
          <c:showPercent val="0"/>
          <c:showBubbleSize val="0"/>
        </c:dLbls>
        <c:smooth val="0"/>
        <c:axId val="649255503"/>
        <c:axId val="649263183"/>
      </c:lineChart>
      <c:catAx>
        <c:axId val="649255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263183"/>
        <c:crosses val="autoZero"/>
        <c:auto val="1"/>
        <c:lblAlgn val="ctr"/>
        <c:lblOffset val="100"/>
        <c:noMultiLvlLbl val="0"/>
      </c:catAx>
      <c:valAx>
        <c:axId val="6492631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25550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Onset</a:t>
            </a:r>
            <a:r>
              <a:rPr lang="en-IN" b="1" u="sng" baseline="0"/>
              <a:t> &amp; Progression during Covid- 19 pandemic</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'Question-4'!$C$11</c:f>
              <c:strCache>
                <c:ptCount val="1"/>
                <c:pt idx="0">
                  <c:v>Onset</c:v>
                </c:pt>
              </c:strCache>
            </c:strRef>
          </c:tx>
          <c:spPr>
            <a:solidFill>
              <a:schemeClr val="accent1"/>
            </a:solidFill>
            <a:ln>
              <a:noFill/>
            </a:ln>
            <a:effectLst/>
          </c:spPr>
          <c:invertIfNegative val="0"/>
          <c:cat>
            <c:strRef>
              <c:f>'Question-4'!$D$10:$F$10</c:f>
              <c:strCache>
                <c:ptCount val="3"/>
                <c:pt idx="0">
                  <c:v>Food </c:v>
                </c:pt>
                <c:pt idx="1">
                  <c:v>Health</c:v>
                </c:pt>
                <c:pt idx="2">
                  <c:v>Transport and communication</c:v>
                </c:pt>
              </c:strCache>
            </c:strRef>
          </c:cat>
          <c:val>
            <c:numRef>
              <c:f>'Question-4'!$D$11:$F$11</c:f>
              <c:numCache>
                <c:formatCode>0.00%</c:formatCode>
                <c:ptCount val="3"/>
                <c:pt idx="0">
                  <c:v>-1.0440122824974418E-2</c:v>
                </c:pt>
                <c:pt idx="1">
                  <c:v>3.9551746868821541E-3</c:v>
                </c:pt>
                <c:pt idx="2">
                  <c:v>-3.0698388334612866E-3</c:v>
                </c:pt>
              </c:numCache>
            </c:numRef>
          </c:val>
          <c:extLst>
            <c:ext xmlns:c16="http://schemas.microsoft.com/office/drawing/2014/chart" uri="{C3380CC4-5D6E-409C-BE32-E72D297353CC}">
              <c16:uniqueId val="{00000000-1E72-4B12-A0B3-68902E04B19F}"/>
            </c:ext>
          </c:extLst>
        </c:ser>
        <c:ser>
          <c:idx val="1"/>
          <c:order val="1"/>
          <c:tx>
            <c:strRef>
              <c:f>'Question-4'!$C$12</c:f>
              <c:strCache>
                <c:ptCount val="1"/>
                <c:pt idx="0">
                  <c:v>Progression</c:v>
                </c:pt>
              </c:strCache>
            </c:strRef>
          </c:tx>
          <c:spPr>
            <a:solidFill>
              <a:schemeClr val="accent2"/>
            </a:solidFill>
            <a:ln>
              <a:noFill/>
            </a:ln>
            <a:effectLst/>
          </c:spPr>
          <c:invertIfNegative val="0"/>
          <c:cat>
            <c:strRef>
              <c:f>'Question-4'!$D$10:$F$10</c:f>
              <c:strCache>
                <c:ptCount val="3"/>
                <c:pt idx="0">
                  <c:v>Food </c:v>
                </c:pt>
                <c:pt idx="1">
                  <c:v>Health</c:v>
                </c:pt>
                <c:pt idx="2">
                  <c:v>Transport and communication</c:v>
                </c:pt>
              </c:strCache>
            </c:strRef>
          </c:cat>
          <c:val>
            <c:numRef>
              <c:f>'Question-4'!$D$12:$F$12</c:f>
              <c:numCache>
                <c:formatCode>0.00%</c:formatCode>
                <c:ptCount val="3"/>
                <c:pt idx="0">
                  <c:v>2.7968556061232816E-2</c:v>
                </c:pt>
                <c:pt idx="1">
                  <c:v>-1.0505581089954186E-2</c:v>
                </c:pt>
                <c:pt idx="2">
                  <c:v>-2.1016166281755226E-2</c:v>
                </c:pt>
              </c:numCache>
            </c:numRef>
          </c:val>
          <c:extLst>
            <c:ext xmlns:c16="http://schemas.microsoft.com/office/drawing/2014/chart" uri="{C3380CC4-5D6E-409C-BE32-E72D297353CC}">
              <c16:uniqueId val="{00000001-1E72-4B12-A0B3-68902E04B19F}"/>
            </c:ext>
          </c:extLst>
        </c:ser>
        <c:dLbls>
          <c:showLegendKey val="0"/>
          <c:showVal val="0"/>
          <c:showCatName val="0"/>
          <c:showSerName val="0"/>
          <c:showPercent val="0"/>
          <c:showBubbleSize val="0"/>
        </c:dLbls>
        <c:gapWidth val="182"/>
        <c:axId val="649267023"/>
        <c:axId val="649262223"/>
      </c:barChart>
      <c:catAx>
        <c:axId val="64926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62223"/>
        <c:crosses val="autoZero"/>
        <c:auto val="1"/>
        <c:lblAlgn val="ctr"/>
        <c:lblOffset val="100"/>
        <c:noMultiLvlLbl val="0"/>
      </c:catAx>
      <c:valAx>
        <c:axId val="6492622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6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u="sng"/>
              <a:t>Rural</a:t>
            </a:r>
            <a:r>
              <a:rPr lang="en-IN" u="sng" baseline="0"/>
              <a:t> + URBAN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694-40C8-84B0-500AE1CDB06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694-40C8-84B0-500AE1CDB06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694-40C8-84B0-500AE1CDB06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694-40C8-84B0-500AE1CDB06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694-40C8-84B0-500AE1CDB06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5694-40C8-84B0-500AE1CDB06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5694-40C8-84B0-500AE1CDB06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5694-40C8-84B0-500AE1CDB06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5694-40C8-84B0-500AE1CDB06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5694-40C8-84B0-500AE1CDB06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694-40C8-84B0-500AE1CDB06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694-40C8-84B0-500AE1CDB06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694-40C8-84B0-500AE1CDB06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694-40C8-84B0-500AE1CDB06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694-40C8-84B0-500AE1CDB06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694-40C8-84B0-500AE1CDB06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694-40C8-84B0-500AE1CDB06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5694-40C8-84B0-500AE1CDB06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5694-40C8-84B0-500AE1CDB06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5694-40C8-84B0-500AE1CDB06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'Question-1'!$H$7:$H$16</c:f>
              <c:strCache>
                <c:ptCount val="10"/>
                <c:pt idx="0">
                  <c:v>FOOD </c:v>
                </c:pt>
                <c:pt idx="1">
                  <c:v>Tobacco</c:v>
                </c:pt>
                <c:pt idx="2">
                  <c:v>Clothing and
 footwear</c:v>
                </c:pt>
                <c:pt idx="3">
                  <c:v>Housing &amp;
 Energy</c:v>
                </c:pt>
                <c:pt idx="4">
                  <c:v>Health</c:v>
                </c:pt>
                <c:pt idx="5">
                  <c:v>Transport and communication</c:v>
                </c:pt>
                <c:pt idx="6">
                  <c:v>Recreation and amusement</c:v>
                </c:pt>
                <c:pt idx="7">
                  <c:v>Education</c:v>
                </c:pt>
                <c:pt idx="8">
                  <c:v>Personal care and effects</c:v>
                </c:pt>
                <c:pt idx="9">
                  <c:v>Miscellaneous</c:v>
                </c:pt>
              </c:strCache>
            </c:strRef>
          </c:cat>
          <c:val>
            <c:numRef>
              <c:f>'Question-1'!$J$7:$J$16</c:f>
              <c:numCache>
                <c:formatCode>0.0%</c:formatCode>
                <c:ptCount val="10"/>
                <c:pt idx="0">
                  <c:v>0.49563853557923682</c:v>
                </c:pt>
                <c:pt idx="1">
                  <c:v>4.3184943279477479E-2</c:v>
                </c:pt>
                <c:pt idx="2">
                  <c:v>0.11885527672739772</c:v>
                </c:pt>
                <c:pt idx="3">
                  <c:v>0.11464420763148846</c:v>
                </c:pt>
                <c:pt idx="4">
                  <c:v>3.9897731179099338E-2</c:v>
                </c:pt>
                <c:pt idx="5">
                  <c:v>3.5407356479889997E-2</c:v>
                </c:pt>
                <c:pt idx="6">
                  <c:v>3.6782399449982808E-2</c:v>
                </c:pt>
                <c:pt idx="7">
                  <c:v>3.8050017188037119E-2</c:v>
                </c:pt>
                <c:pt idx="8">
                  <c:v>3.9790305947060838E-2</c:v>
                </c:pt>
                <c:pt idx="9">
                  <c:v>3.7749226538329315E-2</c:v>
                </c:pt>
              </c:numCache>
            </c:numRef>
          </c:val>
          <c:extLst>
            <c:ext xmlns:c16="http://schemas.microsoft.com/office/drawing/2014/chart" uri="{C3380CC4-5D6E-409C-BE32-E72D297353CC}">
              <c16:uniqueId val="{00000014-5694-40C8-84B0-500AE1CDB06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'Question-3'!$D$5:$D$6</c:f>
              <c:strCache>
                <c:ptCount val="2"/>
                <c:pt idx="0">
                  <c:v>Inflation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'Question-3'!$B$7:$B$17</c:f>
              <c:strCache>
                <c:ptCount val="11"/>
                <c:pt idx="0">
                  <c:v>July</c:v>
                </c:pt>
                <c:pt idx="1">
                  <c:v>August</c:v>
                </c:pt>
                <c:pt idx="2">
                  <c:v>September</c:v>
                </c:pt>
                <c:pt idx="3">
                  <c:v>October</c:v>
                </c:pt>
                <c:pt idx="4">
                  <c:v>November</c:v>
                </c:pt>
                <c:pt idx="5">
                  <c:v>December</c:v>
                </c:pt>
                <c:pt idx="6">
                  <c:v>January</c:v>
                </c:pt>
                <c:pt idx="7">
                  <c:v>February</c:v>
                </c:pt>
                <c:pt idx="8">
                  <c:v>March</c:v>
                </c:pt>
                <c:pt idx="9">
                  <c:v>April</c:v>
                </c:pt>
                <c:pt idx="10">
                  <c:v>May</c:v>
                </c:pt>
              </c:strCache>
            </c:strRef>
          </c:cat>
          <c:val>
            <c:numRef>
              <c:f>'Question-3'!$D$7:$D$17</c:f>
              <c:numCache>
                <c:formatCode>0.00%</c:formatCode>
                <c:ptCount val="11"/>
                <c:pt idx="0">
                  <c:v>1.4407561088060654E-3</c:v>
                </c:pt>
                <c:pt idx="1">
                  <c:v>5.7547332681241445E-5</c:v>
                </c:pt>
                <c:pt idx="2">
                  <c:v>4.8912417999766216E-3</c:v>
                </c:pt>
                <c:pt idx="3">
                  <c:v>7.5588386875110247E-3</c:v>
                </c:pt>
                <c:pt idx="4">
                  <c:v>-5.1150895140699196E-4</c:v>
                </c:pt>
                <c:pt idx="5">
                  <c:v>-7.0510633458430146E-3</c:v>
                </c:pt>
                <c:pt idx="6">
                  <c:v>4.1232390333295092E-3</c:v>
                </c:pt>
                <c:pt idx="7">
                  <c:v>-9.4673206341963981E-3</c:v>
                </c:pt>
                <c:pt idx="8">
                  <c:v>5.7577153385484254E-5</c:v>
                </c:pt>
                <c:pt idx="9">
                  <c:v>4.8362024296161659E-3</c:v>
                </c:pt>
                <c:pt idx="10">
                  <c:v>8.5372142325100576E-3</c:v>
                </c:pt>
              </c:numCache>
            </c:numRef>
          </c:val>
          <c:smooth val="0"/>
          <c:extLst>
            <c:ext xmlns:c16="http://schemas.microsoft.com/office/drawing/2014/chart" uri="{C3380CC4-5D6E-409C-BE32-E72D297353CC}">
              <c16:uniqueId val="{00000000-C414-47D2-8279-0C92B85BFA4D}"/>
            </c:ext>
          </c:extLst>
        </c:ser>
        <c:dLbls>
          <c:showLegendKey val="0"/>
          <c:showVal val="0"/>
          <c:showCatName val="0"/>
          <c:showSerName val="0"/>
          <c:showPercent val="0"/>
          <c:showBubbleSize val="0"/>
        </c:dLbls>
        <c:smooth val="0"/>
        <c:axId val="649255503"/>
        <c:axId val="649263183"/>
      </c:lineChart>
      <c:catAx>
        <c:axId val="649255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263183"/>
        <c:crosses val="autoZero"/>
        <c:auto val="1"/>
        <c:lblAlgn val="ctr"/>
        <c:lblOffset val="100"/>
        <c:noMultiLvlLbl val="0"/>
      </c:catAx>
      <c:valAx>
        <c:axId val="6492631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25550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Onset</a:t>
            </a:r>
            <a:r>
              <a:rPr lang="en-IN" b="1" u="sng" baseline="0"/>
              <a:t> &amp; Progression during Covid- 19 pandemic</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'Question-4'!$C$11</c:f>
              <c:strCache>
                <c:ptCount val="1"/>
                <c:pt idx="0">
                  <c:v>Onset</c:v>
                </c:pt>
              </c:strCache>
            </c:strRef>
          </c:tx>
          <c:spPr>
            <a:solidFill>
              <a:schemeClr val="accent1"/>
            </a:solidFill>
            <a:ln>
              <a:noFill/>
            </a:ln>
            <a:effectLst/>
          </c:spPr>
          <c:invertIfNegative val="0"/>
          <c:cat>
            <c:strRef>
              <c:f>'Question-4'!$D$10:$F$10</c:f>
              <c:strCache>
                <c:ptCount val="3"/>
                <c:pt idx="0">
                  <c:v>Food </c:v>
                </c:pt>
                <c:pt idx="1">
                  <c:v>Health</c:v>
                </c:pt>
                <c:pt idx="2">
                  <c:v>Transport and communication</c:v>
                </c:pt>
              </c:strCache>
            </c:strRef>
          </c:cat>
          <c:val>
            <c:numRef>
              <c:f>'Question-4'!$D$11:$F$11</c:f>
              <c:numCache>
                <c:formatCode>0.00%</c:formatCode>
                <c:ptCount val="3"/>
                <c:pt idx="0">
                  <c:v>-1.0440122824974418E-2</c:v>
                </c:pt>
                <c:pt idx="1">
                  <c:v>3.9551746868821541E-3</c:v>
                </c:pt>
                <c:pt idx="2">
                  <c:v>-3.0698388334612866E-3</c:v>
                </c:pt>
              </c:numCache>
            </c:numRef>
          </c:val>
          <c:extLst>
            <c:ext xmlns:c16="http://schemas.microsoft.com/office/drawing/2014/chart" uri="{C3380CC4-5D6E-409C-BE32-E72D297353CC}">
              <c16:uniqueId val="{00000000-39B3-4EE6-AD01-AFDD819177F5}"/>
            </c:ext>
          </c:extLst>
        </c:ser>
        <c:ser>
          <c:idx val="1"/>
          <c:order val="1"/>
          <c:tx>
            <c:strRef>
              <c:f>'Question-4'!$C$12</c:f>
              <c:strCache>
                <c:ptCount val="1"/>
                <c:pt idx="0">
                  <c:v>Progression</c:v>
                </c:pt>
              </c:strCache>
            </c:strRef>
          </c:tx>
          <c:spPr>
            <a:solidFill>
              <a:schemeClr val="accent2"/>
            </a:solidFill>
            <a:ln>
              <a:noFill/>
            </a:ln>
            <a:effectLst/>
          </c:spPr>
          <c:invertIfNegative val="0"/>
          <c:cat>
            <c:strRef>
              <c:f>'Question-4'!$D$10:$F$10</c:f>
              <c:strCache>
                <c:ptCount val="3"/>
                <c:pt idx="0">
                  <c:v>Food </c:v>
                </c:pt>
                <c:pt idx="1">
                  <c:v>Health</c:v>
                </c:pt>
                <c:pt idx="2">
                  <c:v>Transport and communication</c:v>
                </c:pt>
              </c:strCache>
            </c:strRef>
          </c:cat>
          <c:val>
            <c:numRef>
              <c:f>'Question-4'!$D$12:$F$12</c:f>
              <c:numCache>
                <c:formatCode>0.00%</c:formatCode>
                <c:ptCount val="3"/>
                <c:pt idx="0">
                  <c:v>2.7968556061232816E-2</c:v>
                </c:pt>
                <c:pt idx="1">
                  <c:v>-1.0505581089954186E-2</c:v>
                </c:pt>
                <c:pt idx="2">
                  <c:v>-2.1016166281755226E-2</c:v>
                </c:pt>
              </c:numCache>
            </c:numRef>
          </c:val>
          <c:extLst>
            <c:ext xmlns:c16="http://schemas.microsoft.com/office/drawing/2014/chart" uri="{C3380CC4-5D6E-409C-BE32-E72D297353CC}">
              <c16:uniqueId val="{00000001-39B3-4EE6-AD01-AFDD819177F5}"/>
            </c:ext>
          </c:extLst>
        </c:ser>
        <c:dLbls>
          <c:showLegendKey val="0"/>
          <c:showVal val="0"/>
          <c:showCatName val="0"/>
          <c:showSerName val="0"/>
          <c:showPercent val="0"/>
          <c:showBubbleSize val="0"/>
        </c:dLbls>
        <c:gapWidth val="182"/>
        <c:axId val="649267023"/>
        <c:axId val="649262223"/>
      </c:barChart>
      <c:catAx>
        <c:axId val="64926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62223"/>
        <c:crosses val="autoZero"/>
        <c:auto val="1"/>
        <c:lblAlgn val="ctr"/>
        <c:lblOffset val="100"/>
        <c:noMultiLvlLbl val="0"/>
      </c:catAx>
      <c:valAx>
        <c:axId val="6492622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6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'Question-5'!$C$38:$C$63</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strCache>
            </c:strRef>
          </c:cat>
          <c:val>
            <c:numRef>
              <c:f>'Question-5'!$D$38:$D$63</c:f>
              <c:numCache>
                <c:formatCode>0.00%</c:formatCode>
                <c:ptCount val="26"/>
                <c:pt idx="0">
                  <c:v>0.43987122593443262</c:v>
                </c:pt>
                <c:pt idx="1">
                  <c:v>0.79268301824065446</c:v>
                </c:pt>
                <c:pt idx="2">
                  <c:v>-8.3046590697356121E-2</c:v>
                </c:pt>
                <c:pt idx="3">
                  <c:v>0.52771328180036647</c:v>
                </c:pt>
                <c:pt idx="4">
                  <c:v>0.75142910168854082</c:v>
                </c:pt>
                <c:pt idx="5">
                  <c:v>0.5253885312081723</c:v>
                </c:pt>
                <c:pt idx="6">
                  <c:v>0.32872482782704315</c:v>
                </c:pt>
                <c:pt idx="7">
                  <c:v>0.32248816651061057</c:v>
                </c:pt>
                <c:pt idx="8">
                  <c:v>0.60891818986860835</c:v>
                </c:pt>
                <c:pt idx="9">
                  <c:v>0.51227601850256299</c:v>
                </c:pt>
                <c:pt idx="10">
                  <c:v>0.67563173416540223</c:v>
                </c:pt>
                <c:pt idx="11">
                  <c:v>0.63528538231225018</c:v>
                </c:pt>
                <c:pt idx="12">
                  <c:v>0.70967053178100881</c:v>
                </c:pt>
                <c:pt idx="13">
                  <c:v>0.5322553824571401</c:v>
                </c:pt>
                <c:pt idx="14">
                  <c:v>0.66726192821333341</c:v>
                </c:pt>
                <c:pt idx="15">
                  <c:v>0.69238471842336602</c:v>
                </c:pt>
                <c:pt idx="16">
                  <c:v>0.67151996944592118</c:v>
                </c:pt>
                <c:pt idx="17">
                  <c:v>0.58260754054158548</c:v>
                </c:pt>
                <c:pt idx="18">
                  <c:v>0.71027192860202093</c:v>
                </c:pt>
                <c:pt idx="19">
                  <c:v>0.6542215219876566</c:v>
                </c:pt>
                <c:pt idx="20">
                  <c:v>0.6183374191219887</c:v>
                </c:pt>
                <c:pt idx="21">
                  <c:v>0.77857772043702822</c:v>
                </c:pt>
                <c:pt idx="22">
                  <c:v>0.72403484176045285</c:v>
                </c:pt>
                <c:pt idx="23">
                  <c:v>0.59613394654076424</c:v>
                </c:pt>
                <c:pt idx="24">
                  <c:v>0.55910184666469454</c:v>
                </c:pt>
                <c:pt idx="25">
                  <c:v>0.67548161234849602</c:v>
                </c:pt>
              </c:numCache>
            </c:numRef>
          </c:val>
          <c:smooth val="0"/>
          <c:extLst>
            <c:ext xmlns:c16="http://schemas.microsoft.com/office/drawing/2014/chart" uri="{C3380CC4-5D6E-409C-BE32-E72D297353CC}">
              <c16:uniqueId val="{00000000-FFA4-4DB8-85E4-8447FFBE4AB1}"/>
            </c:ext>
          </c:extLst>
        </c:ser>
        <c:dLbls>
          <c:showLegendKey val="0"/>
          <c:showVal val="0"/>
          <c:showCatName val="0"/>
          <c:showSerName val="0"/>
          <c:showPercent val="0"/>
          <c:showBubbleSize val="0"/>
        </c:dLbls>
        <c:smooth val="0"/>
        <c:axId val="297465471"/>
        <c:axId val="297447231"/>
      </c:lineChart>
      <c:catAx>
        <c:axId val="2974654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447231"/>
        <c:crosses val="autoZero"/>
        <c:auto val="1"/>
        <c:lblAlgn val="ctr"/>
        <c:lblOffset val="100"/>
        <c:noMultiLvlLbl val="0"/>
      </c:catAx>
      <c:valAx>
        <c:axId val="29744723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46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0</xdr:colOff>
      <xdr:row>16</xdr:row>
      <xdr:rowOff>39289</xdr:rowOff>
    </xdr:from>
    <xdr:to>
      <xdr:col>11</xdr:col>
      <xdr:colOff>1047748</xdr:colOff>
      <xdr:row>32</xdr:row>
      <xdr:rowOff>47625</xdr:rowOff>
    </xdr:to>
    <xdr:graphicFrame macro="">
      <xdr:nvGraphicFramePr>
        <xdr:cNvPr id="5" name="Chart 4">
          <a:extLst>
            <a:ext uri="{FF2B5EF4-FFF2-40B4-BE49-F238E27FC236}">
              <a16:creationId xmlns:a16="http://schemas.microsoft.com/office/drawing/2014/main" id="{A727EF1C-6F35-A251-1175-9B0F4EFD5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1172765</xdr:colOff>
      <xdr:row>16</xdr:row>
      <xdr:rowOff>39290</xdr:rowOff>
    </xdr:from>
    <xdr:to>
      <xdr:col>15</xdr:col>
      <xdr:colOff>1464469</xdr:colOff>
      <xdr:row>32</xdr:row>
      <xdr:rowOff>35718</xdr:rowOff>
    </xdr:to>
    <xdr:graphicFrame macro="">
      <xdr:nvGraphicFramePr>
        <xdr:cNvPr id="6" name="Chart 5">
          <a:extLst>
            <a:ext uri="{FF2B5EF4-FFF2-40B4-BE49-F238E27FC236}">
              <a16:creationId xmlns:a16="http://schemas.microsoft.com/office/drawing/2014/main" id="{9FFEF389-C23E-BC48-04A6-612BE343D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1756171</xdr:colOff>
      <xdr:row>16</xdr:row>
      <xdr:rowOff>63102</xdr:rowOff>
    </xdr:from>
    <xdr:to>
      <xdr:col>22</xdr:col>
      <xdr:colOff>178593</xdr:colOff>
      <xdr:row>32</xdr:row>
      <xdr:rowOff>23812</xdr:rowOff>
    </xdr:to>
    <xdr:graphicFrame macro="">
      <xdr:nvGraphicFramePr>
        <xdr:cNvPr id="8" name="Chart 7">
          <a:extLst>
            <a:ext uri="{FF2B5EF4-FFF2-40B4-BE49-F238E27FC236}">
              <a16:creationId xmlns:a16="http://schemas.microsoft.com/office/drawing/2014/main" id="{DF21A4E6-083F-3DCE-C748-01145CFBA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xdr:row>
      <xdr:rowOff>147637</xdr:rowOff>
    </xdr:from>
    <xdr:to>
      <xdr:col>14</xdr:col>
      <xdr:colOff>428625</xdr:colOff>
      <xdr:row>16</xdr:row>
      <xdr:rowOff>33337</xdr:rowOff>
    </xdr:to>
    <xdr:graphicFrame macro="">
      <xdr:nvGraphicFramePr>
        <xdr:cNvPr id="6" name="Chart 5">
          <a:extLst>
            <a:ext uri="{FF2B5EF4-FFF2-40B4-BE49-F238E27FC236}">
              <a16:creationId xmlns:a16="http://schemas.microsoft.com/office/drawing/2014/main" id="{428EDF1A-58E9-6EB1-3940-373A3E417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285750</xdr:colOff>
      <xdr:row>1</xdr:row>
      <xdr:rowOff>0</xdr:rowOff>
    </xdr:from>
    <xdr:to>
      <xdr:col>14</xdr:col>
      <xdr:colOff>247650</xdr:colOff>
      <xdr:row>13</xdr:row>
      <xdr:rowOff>114300</xdr:rowOff>
    </xdr:to>
    <xdr:graphicFrame macro="">
      <xdr:nvGraphicFramePr>
        <xdr:cNvPr id="3" name="Chart 2">
          <a:extLst>
            <a:ext uri="{FF2B5EF4-FFF2-40B4-BE49-F238E27FC236}">
              <a16:creationId xmlns:a16="http://schemas.microsoft.com/office/drawing/2014/main" id="{19B20094-2905-4669-AE4A-BB9520973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xdr:row>
      <xdr:rowOff>0</xdr:rowOff>
    </xdr:from>
    <xdr:to>
      <xdr:col>25</xdr:col>
      <xdr:colOff>523875</xdr:colOff>
      <xdr:row>15</xdr:row>
      <xdr:rowOff>76200</xdr:rowOff>
    </xdr:to>
    <xdr:graphicFrame macro="">
      <xdr:nvGraphicFramePr>
        <xdr:cNvPr id="4" name="Chart 3">
          <a:extLst>
            <a:ext uri="{FF2B5EF4-FFF2-40B4-BE49-F238E27FC236}">
              <a16:creationId xmlns:a16="http://schemas.microsoft.com/office/drawing/2014/main" id="{84B5814E-011D-475E-8E91-7AE07D615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0</xdr:rowOff>
    </xdr:from>
    <xdr:to>
      <xdr:col>8</xdr:col>
      <xdr:colOff>304800</xdr:colOff>
      <xdr:row>29</xdr:row>
      <xdr:rowOff>76200</xdr:rowOff>
    </xdr:to>
    <xdr:graphicFrame macro="">
      <xdr:nvGraphicFramePr>
        <xdr:cNvPr id="5" name="Chart 4">
          <a:extLst>
            <a:ext uri="{FF2B5EF4-FFF2-40B4-BE49-F238E27FC236}">
              <a16:creationId xmlns:a16="http://schemas.microsoft.com/office/drawing/2014/main" id="{AA84EF96-7C54-4DF0-9871-8AC31661B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1</xdr:rowOff>
    </xdr:from>
    <xdr:to>
      <xdr:col>7</xdr:col>
      <xdr:colOff>95250</xdr:colOff>
      <xdr:row>13</xdr:row>
      <xdr:rowOff>133351</xdr:rowOff>
    </xdr:to>
    <xdr:graphicFrame macro="">
      <xdr:nvGraphicFramePr>
        <xdr:cNvPr id="6" name="Chart 5">
          <a:extLst>
            <a:ext uri="{FF2B5EF4-FFF2-40B4-BE49-F238E27FC236}">
              <a16:creationId xmlns:a16="http://schemas.microsoft.com/office/drawing/2014/main" id="{443FDB0E-7CF3-41B5-8E6C-B3C15BAAE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476250</xdr:colOff>
      <xdr:row>3</xdr:row>
      <xdr:rowOff>128587</xdr:rowOff>
    </xdr:from>
    <xdr:to>
      <xdr:col>13</xdr:col>
      <xdr:colOff>171450</xdr:colOff>
      <xdr:row>18</xdr:row>
      <xdr:rowOff>14287</xdr:rowOff>
    </xdr:to>
    <xdr:graphicFrame macro="">
      <xdr:nvGraphicFramePr>
        <xdr:cNvPr id="3" name="Chart 2">
          <a:extLst>
            <a:ext uri="{FF2B5EF4-FFF2-40B4-BE49-F238E27FC236}">
              <a16:creationId xmlns:a16="http://schemas.microsoft.com/office/drawing/2014/main" id="{D2211D11-5E02-50F5-2E0D-4E3F900FB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352425</xdr:colOff>
      <xdr:row>2</xdr:row>
      <xdr:rowOff>109537</xdr:rowOff>
    </xdr:from>
    <xdr:to>
      <xdr:col>14</xdr:col>
      <xdr:colOff>47625</xdr:colOff>
      <xdr:row>14</xdr:row>
      <xdr:rowOff>185737</xdr:rowOff>
    </xdr:to>
    <xdr:graphicFrame macro="">
      <xdr:nvGraphicFramePr>
        <xdr:cNvPr id="2" name="Chart 1">
          <a:extLst>
            <a:ext uri="{FF2B5EF4-FFF2-40B4-BE49-F238E27FC236}">
              <a16:creationId xmlns:a16="http://schemas.microsoft.com/office/drawing/2014/main" id="{38BFDEBE-1A88-A1D5-9507-F457AD3E7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590550</xdr:colOff>
      <xdr:row>42</xdr:row>
      <xdr:rowOff>157162</xdr:rowOff>
    </xdr:from>
    <xdr:to>
      <xdr:col>11</xdr:col>
      <xdr:colOff>19050</xdr:colOff>
      <xdr:row>57</xdr:row>
      <xdr:rowOff>42862</xdr:rowOff>
    </xdr:to>
    <xdr:graphicFrame macro="">
      <xdr:nvGraphicFramePr>
        <xdr:cNvPr id="5" name="Chart 4">
          <a:extLst>
            <a:ext uri="{FF2B5EF4-FFF2-40B4-BE49-F238E27FC236}">
              <a16:creationId xmlns:a16="http://schemas.microsoft.com/office/drawing/2014/main" id="{AAA33034-A929-319F-4AE7-78CC9A23A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16A86-0BCF-4DAA-B178-05979357464B}">
  <sheetPr filterMode="1"/>
  <dimension ref="A1:AD373"/>
  <sheetViews>
    <sheetView topLeftCell="K321" workbookViewId="0">
      <selection activeCell="U375" sqref="U375"/>
    </sheetView>
  </sheetViews>
  <sheetFormatPr defaultRowHeight="15" x14ac:dyDescent="0.25"/>
  <sheetData>
    <row r="1" spans="1:3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idden="1"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2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2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hidden="1"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hidden="1"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hidden="1"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hidden="1"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hidden="1"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hidden="1"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hidden="1"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hidden="1" x14ac:dyDescent="0.2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hidden="1" x14ac:dyDescent="0.2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2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hidden="1" x14ac:dyDescent="0.2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hidden="1"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hidden="1"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hidden="1"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hidden="1"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hidden="1" x14ac:dyDescent="0.2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2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hidden="1" x14ac:dyDescent="0.2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hidden="1" x14ac:dyDescent="0.2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2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hidden="1"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hidden="1"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hidden="1" x14ac:dyDescent="0.2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hidden="1" x14ac:dyDescent="0.2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2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hidden="1"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hidden="1" x14ac:dyDescent="0.2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hidden="1" x14ac:dyDescent="0.2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hidden="1" x14ac:dyDescent="0.2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2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2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hidden="1"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2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hidden="1" x14ac:dyDescent="0.2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hidden="1" x14ac:dyDescent="0.2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2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hidden="1" x14ac:dyDescent="0.2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2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2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hidden="1" x14ac:dyDescent="0.2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2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2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hidden="1" x14ac:dyDescent="0.2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2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2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hidden="1" x14ac:dyDescent="0.2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2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hidden="1" x14ac:dyDescent="0.2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2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hidden="1" x14ac:dyDescent="0.2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2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2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hidden="1" x14ac:dyDescent="0.2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2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2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hidden="1" x14ac:dyDescent="0.2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2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2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hidden="1"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2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2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hidden="1"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2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hidden="1" x14ac:dyDescent="0.2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2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2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hidden="1" x14ac:dyDescent="0.2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2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2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hidden="1" x14ac:dyDescent="0.2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2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hidden="1" x14ac:dyDescent="0.2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hidden="1" x14ac:dyDescent="0.2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2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2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hidden="1" x14ac:dyDescent="0.2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2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2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hidden="1" x14ac:dyDescent="0.2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2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2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hidden="1" x14ac:dyDescent="0.2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2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2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hidden="1" x14ac:dyDescent="0.2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2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2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hidden="1" x14ac:dyDescent="0.2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2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2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hidden="1" x14ac:dyDescent="0.2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2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2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hidden="1" x14ac:dyDescent="0.2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2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2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hidden="1" x14ac:dyDescent="0.2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2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2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hidden="1" x14ac:dyDescent="0.2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2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2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hidden="1" x14ac:dyDescent="0.2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hidden="1" x14ac:dyDescent="0.2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hidden="1" x14ac:dyDescent="0.2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hidden="1" x14ac:dyDescent="0.2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46116A86-0BCF-4DAA-B178-05979357464B}">
    <filterColumn colId="0">
      <filters>
        <filter val="Urba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F957-76F2-4577-A966-FF9BB109815F}">
  <dimension ref="A1:AE373"/>
  <sheetViews>
    <sheetView tabSelected="1" topLeftCell="L1" workbookViewId="0">
      <pane ySplit="1" topLeftCell="A354" activePane="bottomLeft" state="frozen"/>
      <selection activeCell="G4" sqref="G4"/>
      <selection pane="bottomLeft" activeCell="R358" sqref="R358"/>
    </sheetView>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63</v>
      </c>
      <c r="O1" t="s">
        <v>13</v>
      </c>
      <c r="P1" t="s">
        <v>73</v>
      </c>
      <c r="Q1" t="s">
        <v>15</v>
      </c>
      <c r="R1" t="s">
        <v>16</v>
      </c>
      <c r="S1" t="s">
        <v>17</v>
      </c>
      <c r="T1" t="s">
        <v>18</v>
      </c>
      <c r="U1" t="s">
        <v>19</v>
      </c>
      <c r="V1" t="s">
        <v>20</v>
      </c>
      <c r="W1" t="s">
        <v>21</v>
      </c>
      <c r="X1" t="s">
        <v>22</v>
      </c>
      <c r="Y1" t="s">
        <v>23</v>
      </c>
      <c r="Z1" t="s">
        <v>24</v>
      </c>
      <c r="AA1" t="s">
        <v>25</v>
      </c>
      <c r="AB1" t="s">
        <v>26</v>
      </c>
      <c r="AC1" t="s">
        <v>74</v>
      </c>
      <c r="AD1" t="s">
        <v>28</v>
      </c>
      <c r="AE1" t="s">
        <v>29</v>
      </c>
    </row>
    <row r="2" spans="1:31" x14ac:dyDescent="0.25">
      <c r="A2" t="s">
        <v>30</v>
      </c>
      <c r="B2">
        <v>2013</v>
      </c>
      <c r="C2" t="s">
        <v>31</v>
      </c>
      <c r="D2">
        <v>107.5</v>
      </c>
      <c r="E2">
        <v>106.3</v>
      </c>
      <c r="F2">
        <v>108.1</v>
      </c>
      <c r="G2">
        <v>104.9</v>
      </c>
      <c r="H2">
        <v>106.1</v>
      </c>
      <c r="I2">
        <v>103.9</v>
      </c>
      <c r="J2">
        <v>101.9</v>
      </c>
      <c r="K2">
        <v>106.1</v>
      </c>
      <c r="L2">
        <v>106.8</v>
      </c>
      <c r="M2">
        <v>103.1</v>
      </c>
      <c r="N2">
        <f>AVERAGE(D2:M2)</f>
        <v>105.46999999999998</v>
      </c>
      <c r="O2">
        <v>104.8</v>
      </c>
      <c r="P2">
        <v>106.7</v>
      </c>
      <c r="Q2">
        <v>105.5</v>
      </c>
      <c r="R2">
        <v>105.1</v>
      </c>
      <c r="S2">
        <v>106.5</v>
      </c>
      <c r="T2">
        <v>105.8</v>
      </c>
      <c r="U2">
        <v>106.4</v>
      </c>
      <c r="V2">
        <v>139.25</v>
      </c>
      <c r="W2">
        <v>105.5</v>
      </c>
      <c r="X2">
        <v>104.8</v>
      </c>
      <c r="Y2">
        <v>104</v>
      </c>
      <c r="Z2">
        <v>103.3</v>
      </c>
      <c r="AA2">
        <v>103.4</v>
      </c>
      <c r="AB2">
        <v>103.8</v>
      </c>
      <c r="AC2">
        <v>104.7</v>
      </c>
      <c r="AD2">
        <v>104</v>
      </c>
      <c r="AE2">
        <v>105.1</v>
      </c>
    </row>
    <row r="3" spans="1:31" x14ac:dyDescent="0.25">
      <c r="A3" t="s">
        <v>33</v>
      </c>
      <c r="B3">
        <v>2013</v>
      </c>
      <c r="C3" t="s">
        <v>31</v>
      </c>
      <c r="D3">
        <v>110.5</v>
      </c>
      <c r="E3">
        <v>109.1</v>
      </c>
      <c r="F3">
        <v>113</v>
      </c>
      <c r="G3">
        <v>103.6</v>
      </c>
      <c r="H3">
        <v>103.4</v>
      </c>
      <c r="I3">
        <v>102.3</v>
      </c>
      <c r="J3">
        <v>102.9</v>
      </c>
      <c r="K3">
        <v>105.8</v>
      </c>
      <c r="L3">
        <v>105.1</v>
      </c>
      <c r="M3">
        <v>101.8</v>
      </c>
      <c r="N3">
        <f t="shared" ref="N3:N66" si="0">AVERAGE(D3:M3)</f>
        <v>105.75</v>
      </c>
      <c r="O3">
        <v>105.1</v>
      </c>
      <c r="P3">
        <v>107.9</v>
      </c>
      <c r="Q3">
        <v>105.9</v>
      </c>
      <c r="R3">
        <v>105.2</v>
      </c>
      <c r="S3">
        <v>105.9</v>
      </c>
      <c r="T3">
        <v>105</v>
      </c>
      <c r="U3">
        <v>105.8</v>
      </c>
      <c r="V3">
        <v>100.3</v>
      </c>
      <c r="W3">
        <v>105.4</v>
      </c>
      <c r="X3">
        <v>104.8</v>
      </c>
      <c r="Y3">
        <v>104.1</v>
      </c>
      <c r="Z3">
        <v>103.2</v>
      </c>
      <c r="AA3">
        <v>102.9</v>
      </c>
      <c r="AB3">
        <v>103.5</v>
      </c>
      <c r="AC3">
        <v>104.3</v>
      </c>
      <c r="AD3">
        <v>103.7</v>
      </c>
      <c r="AE3">
        <v>104</v>
      </c>
    </row>
    <row r="4" spans="1:31" x14ac:dyDescent="0.25">
      <c r="A4" t="s">
        <v>34</v>
      </c>
      <c r="B4">
        <v>2013</v>
      </c>
      <c r="C4" t="s">
        <v>31</v>
      </c>
      <c r="D4">
        <v>108.4</v>
      </c>
      <c r="E4">
        <v>107.3</v>
      </c>
      <c r="F4">
        <v>110</v>
      </c>
      <c r="G4">
        <v>104.4</v>
      </c>
      <c r="H4">
        <v>105.1</v>
      </c>
      <c r="I4">
        <v>103.2</v>
      </c>
      <c r="J4">
        <v>102.2</v>
      </c>
      <c r="K4">
        <v>106</v>
      </c>
      <c r="L4">
        <v>106.2</v>
      </c>
      <c r="M4">
        <v>102.7</v>
      </c>
      <c r="N4">
        <f t="shared" si="0"/>
        <v>105.55000000000003</v>
      </c>
      <c r="O4">
        <v>104.9</v>
      </c>
      <c r="P4">
        <v>107.3</v>
      </c>
      <c r="Q4">
        <v>105.6</v>
      </c>
      <c r="R4">
        <v>105.1</v>
      </c>
      <c r="S4">
        <v>106.3</v>
      </c>
      <c r="T4">
        <v>105.5</v>
      </c>
      <c r="U4">
        <v>106.2</v>
      </c>
      <c r="V4">
        <v>100.3</v>
      </c>
      <c r="W4">
        <v>105.5</v>
      </c>
      <c r="X4">
        <v>104.8</v>
      </c>
      <c r="Y4">
        <v>104</v>
      </c>
      <c r="Z4">
        <v>103.2</v>
      </c>
      <c r="AA4">
        <v>103.1</v>
      </c>
      <c r="AB4">
        <v>103.6</v>
      </c>
      <c r="AC4">
        <v>104.5</v>
      </c>
      <c r="AD4">
        <v>103.9</v>
      </c>
      <c r="AE4">
        <v>104.6</v>
      </c>
    </row>
    <row r="5" spans="1:31" x14ac:dyDescent="0.25">
      <c r="A5" t="s">
        <v>30</v>
      </c>
      <c r="B5">
        <v>2013</v>
      </c>
      <c r="C5" t="s">
        <v>35</v>
      </c>
      <c r="D5">
        <v>109.2</v>
      </c>
      <c r="E5">
        <v>108.7</v>
      </c>
      <c r="F5">
        <v>110.2</v>
      </c>
      <c r="G5">
        <v>105.4</v>
      </c>
      <c r="H5">
        <v>106.7</v>
      </c>
      <c r="I5">
        <v>104</v>
      </c>
      <c r="J5">
        <v>102.4</v>
      </c>
      <c r="K5">
        <v>105.9</v>
      </c>
      <c r="L5">
        <v>105.7</v>
      </c>
      <c r="M5">
        <v>103.1</v>
      </c>
      <c r="N5">
        <f t="shared" si="0"/>
        <v>106.13</v>
      </c>
      <c r="O5">
        <v>105.1</v>
      </c>
      <c r="P5">
        <v>107.7</v>
      </c>
      <c r="Q5">
        <v>106.3</v>
      </c>
      <c r="R5">
        <v>105.6</v>
      </c>
      <c r="S5">
        <v>107.1</v>
      </c>
      <c r="T5">
        <v>106.3</v>
      </c>
      <c r="U5">
        <v>107</v>
      </c>
      <c r="V5">
        <v>139.25</v>
      </c>
      <c r="W5">
        <v>106.2</v>
      </c>
      <c r="X5">
        <v>105.2</v>
      </c>
      <c r="Y5">
        <v>104.4</v>
      </c>
      <c r="Z5">
        <v>103.9</v>
      </c>
      <c r="AA5">
        <v>104</v>
      </c>
      <c r="AB5">
        <v>104.1</v>
      </c>
      <c r="AC5">
        <v>104.6</v>
      </c>
      <c r="AD5">
        <v>104.4</v>
      </c>
      <c r="AE5">
        <v>105.8</v>
      </c>
    </row>
    <row r="6" spans="1:31" x14ac:dyDescent="0.25">
      <c r="A6" t="s">
        <v>33</v>
      </c>
      <c r="B6">
        <v>2013</v>
      </c>
      <c r="C6" t="s">
        <v>35</v>
      </c>
      <c r="D6">
        <v>112.9</v>
      </c>
      <c r="E6">
        <v>112.9</v>
      </c>
      <c r="F6">
        <v>116.9</v>
      </c>
      <c r="G6">
        <v>104</v>
      </c>
      <c r="H6">
        <v>103.5</v>
      </c>
      <c r="I6">
        <v>103.1</v>
      </c>
      <c r="J6">
        <v>104.9</v>
      </c>
      <c r="K6">
        <v>104.1</v>
      </c>
      <c r="L6">
        <v>103.8</v>
      </c>
      <c r="M6">
        <v>102.3</v>
      </c>
      <c r="N6">
        <f t="shared" si="0"/>
        <v>106.84</v>
      </c>
      <c r="O6">
        <v>106</v>
      </c>
      <c r="P6">
        <v>109</v>
      </c>
      <c r="Q6">
        <v>107.2</v>
      </c>
      <c r="R6">
        <v>106</v>
      </c>
      <c r="S6">
        <v>106.6</v>
      </c>
      <c r="T6">
        <v>105.5</v>
      </c>
      <c r="U6">
        <v>106.4</v>
      </c>
      <c r="V6">
        <v>100.4</v>
      </c>
      <c r="W6">
        <v>105.7</v>
      </c>
      <c r="X6">
        <v>105.2</v>
      </c>
      <c r="Y6">
        <v>104.7</v>
      </c>
      <c r="Z6">
        <v>104.4</v>
      </c>
      <c r="AA6">
        <v>103.3</v>
      </c>
      <c r="AB6">
        <v>103.7</v>
      </c>
      <c r="AC6">
        <v>104.3</v>
      </c>
      <c r="AD6">
        <v>104.3</v>
      </c>
      <c r="AE6">
        <v>104.7</v>
      </c>
    </row>
    <row r="7" spans="1:31" x14ac:dyDescent="0.25">
      <c r="A7" t="s">
        <v>34</v>
      </c>
      <c r="B7">
        <v>2013</v>
      </c>
      <c r="C7" t="s">
        <v>35</v>
      </c>
      <c r="D7">
        <v>110.4</v>
      </c>
      <c r="E7">
        <v>110.2</v>
      </c>
      <c r="F7">
        <v>112.8</v>
      </c>
      <c r="G7">
        <v>104.9</v>
      </c>
      <c r="H7">
        <v>105.5</v>
      </c>
      <c r="I7">
        <v>103.6</v>
      </c>
      <c r="J7">
        <v>103.2</v>
      </c>
      <c r="K7">
        <v>105.3</v>
      </c>
      <c r="L7">
        <v>105.1</v>
      </c>
      <c r="M7">
        <v>102.8</v>
      </c>
      <c r="N7">
        <f t="shared" si="0"/>
        <v>106.38000000000002</v>
      </c>
      <c r="O7">
        <v>105.5</v>
      </c>
      <c r="P7">
        <v>108.3</v>
      </c>
      <c r="Q7">
        <v>106.6</v>
      </c>
      <c r="R7">
        <v>105.7</v>
      </c>
      <c r="S7">
        <v>106.9</v>
      </c>
      <c r="T7">
        <v>106</v>
      </c>
      <c r="U7">
        <v>106.8</v>
      </c>
      <c r="V7">
        <v>100.4</v>
      </c>
      <c r="W7">
        <v>106</v>
      </c>
      <c r="X7">
        <v>105.2</v>
      </c>
      <c r="Y7">
        <v>104.5</v>
      </c>
      <c r="Z7">
        <v>104.2</v>
      </c>
      <c r="AA7">
        <v>103.6</v>
      </c>
      <c r="AB7">
        <v>103.9</v>
      </c>
      <c r="AC7">
        <v>104.5</v>
      </c>
      <c r="AD7">
        <v>104.4</v>
      </c>
      <c r="AE7">
        <v>105.3</v>
      </c>
    </row>
    <row r="8" spans="1:31" x14ac:dyDescent="0.25">
      <c r="A8" t="s">
        <v>30</v>
      </c>
      <c r="B8">
        <v>2013</v>
      </c>
      <c r="C8" t="s">
        <v>36</v>
      </c>
      <c r="D8">
        <v>110.2</v>
      </c>
      <c r="E8">
        <v>108.8</v>
      </c>
      <c r="F8">
        <v>109.9</v>
      </c>
      <c r="G8">
        <v>105.6</v>
      </c>
      <c r="H8">
        <v>106.2</v>
      </c>
      <c r="I8">
        <v>105.7</v>
      </c>
      <c r="J8">
        <v>101.4</v>
      </c>
      <c r="K8">
        <v>105.7</v>
      </c>
      <c r="L8">
        <v>105</v>
      </c>
      <c r="M8">
        <v>103.3</v>
      </c>
      <c r="N8">
        <f t="shared" si="0"/>
        <v>106.18000000000002</v>
      </c>
      <c r="O8">
        <v>105.6</v>
      </c>
      <c r="P8">
        <v>108.2</v>
      </c>
      <c r="Q8">
        <v>106.6</v>
      </c>
      <c r="R8">
        <v>106.5</v>
      </c>
      <c r="S8">
        <v>107.6</v>
      </c>
      <c r="T8">
        <v>106.8</v>
      </c>
      <c r="U8">
        <v>107.5</v>
      </c>
      <c r="V8">
        <v>139.25</v>
      </c>
      <c r="W8">
        <v>106.1</v>
      </c>
      <c r="X8">
        <v>105.6</v>
      </c>
      <c r="Y8">
        <v>104.7</v>
      </c>
      <c r="Z8">
        <v>104.6</v>
      </c>
      <c r="AA8">
        <v>104</v>
      </c>
      <c r="AB8">
        <v>104.3</v>
      </c>
      <c r="AC8">
        <v>104.3</v>
      </c>
      <c r="AD8">
        <v>104.6</v>
      </c>
      <c r="AE8">
        <v>106</v>
      </c>
    </row>
    <row r="9" spans="1:31" x14ac:dyDescent="0.25">
      <c r="A9" t="s">
        <v>33</v>
      </c>
      <c r="B9">
        <v>2013</v>
      </c>
      <c r="C9" t="s">
        <v>36</v>
      </c>
      <c r="D9">
        <v>113.9</v>
      </c>
      <c r="E9">
        <v>111.4</v>
      </c>
      <c r="F9">
        <v>113.2</v>
      </c>
      <c r="G9">
        <v>104.3</v>
      </c>
      <c r="H9">
        <v>102.7</v>
      </c>
      <c r="I9">
        <v>104.9</v>
      </c>
      <c r="J9">
        <v>103.8</v>
      </c>
      <c r="K9">
        <v>103.5</v>
      </c>
      <c r="L9">
        <v>102.6</v>
      </c>
      <c r="M9">
        <v>102.4</v>
      </c>
      <c r="N9">
        <f t="shared" si="0"/>
        <v>106.27000000000001</v>
      </c>
      <c r="O9">
        <v>107</v>
      </c>
      <c r="P9">
        <v>109.8</v>
      </c>
      <c r="Q9">
        <v>107.3</v>
      </c>
      <c r="R9">
        <v>106.8</v>
      </c>
      <c r="S9">
        <v>107.2</v>
      </c>
      <c r="T9">
        <v>106</v>
      </c>
      <c r="U9">
        <v>107</v>
      </c>
      <c r="V9">
        <v>100.4</v>
      </c>
      <c r="W9">
        <v>106</v>
      </c>
      <c r="X9">
        <v>105.7</v>
      </c>
      <c r="Y9">
        <v>105.2</v>
      </c>
      <c r="Z9">
        <v>105.5</v>
      </c>
      <c r="AA9">
        <v>103.5</v>
      </c>
      <c r="AB9">
        <v>103.8</v>
      </c>
      <c r="AC9">
        <v>104.2</v>
      </c>
      <c r="AD9">
        <v>104.9</v>
      </c>
      <c r="AE9">
        <v>105</v>
      </c>
    </row>
    <row r="10" spans="1:31" x14ac:dyDescent="0.25">
      <c r="A10" t="s">
        <v>34</v>
      </c>
      <c r="B10">
        <v>2013</v>
      </c>
      <c r="C10" t="s">
        <v>36</v>
      </c>
      <c r="D10">
        <v>111.4</v>
      </c>
      <c r="E10">
        <v>109.7</v>
      </c>
      <c r="F10">
        <v>111.2</v>
      </c>
      <c r="G10">
        <v>105.1</v>
      </c>
      <c r="H10">
        <v>104.9</v>
      </c>
      <c r="I10">
        <v>105.3</v>
      </c>
      <c r="J10">
        <v>102.2</v>
      </c>
      <c r="K10">
        <v>105</v>
      </c>
      <c r="L10">
        <v>104.2</v>
      </c>
      <c r="M10">
        <v>103</v>
      </c>
      <c r="N10">
        <f t="shared" si="0"/>
        <v>106.2</v>
      </c>
      <c r="O10">
        <v>106.2</v>
      </c>
      <c r="P10">
        <v>108.9</v>
      </c>
      <c r="Q10">
        <v>106.9</v>
      </c>
      <c r="R10">
        <v>106.6</v>
      </c>
      <c r="S10">
        <v>107.4</v>
      </c>
      <c r="T10">
        <v>106.5</v>
      </c>
      <c r="U10">
        <v>107.3</v>
      </c>
      <c r="V10">
        <v>100.4</v>
      </c>
      <c r="W10">
        <v>106.1</v>
      </c>
      <c r="X10">
        <v>105.6</v>
      </c>
      <c r="Y10">
        <v>104.9</v>
      </c>
      <c r="Z10">
        <v>105.1</v>
      </c>
      <c r="AA10">
        <v>103.7</v>
      </c>
      <c r="AB10">
        <v>104</v>
      </c>
      <c r="AC10">
        <v>104.3</v>
      </c>
      <c r="AD10">
        <v>104.7</v>
      </c>
      <c r="AE10">
        <v>105.5</v>
      </c>
    </row>
    <row r="11" spans="1:31" x14ac:dyDescent="0.25">
      <c r="A11" t="s">
        <v>30</v>
      </c>
      <c r="B11">
        <v>2013</v>
      </c>
      <c r="C11" t="s">
        <v>37</v>
      </c>
      <c r="D11">
        <v>110.2</v>
      </c>
      <c r="E11">
        <v>109.5</v>
      </c>
      <c r="F11">
        <v>106.9</v>
      </c>
      <c r="G11">
        <v>106.3</v>
      </c>
      <c r="H11">
        <v>105.7</v>
      </c>
      <c r="I11">
        <v>108.3</v>
      </c>
      <c r="J11">
        <v>103.4</v>
      </c>
      <c r="K11">
        <v>105.7</v>
      </c>
      <c r="L11">
        <v>104.2</v>
      </c>
      <c r="M11">
        <v>103.2</v>
      </c>
      <c r="N11">
        <f t="shared" si="0"/>
        <v>106.34</v>
      </c>
      <c r="O11">
        <v>106.5</v>
      </c>
      <c r="P11">
        <v>108.8</v>
      </c>
      <c r="Q11">
        <v>107.1</v>
      </c>
      <c r="R11">
        <v>107.1</v>
      </c>
      <c r="S11">
        <v>108.1</v>
      </c>
      <c r="T11">
        <v>107.4</v>
      </c>
      <c r="U11">
        <v>108</v>
      </c>
      <c r="V11">
        <v>139.25</v>
      </c>
      <c r="W11">
        <v>106.5</v>
      </c>
      <c r="X11">
        <v>106.1</v>
      </c>
      <c r="Y11">
        <v>105.1</v>
      </c>
      <c r="Z11">
        <v>104.4</v>
      </c>
      <c r="AA11">
        <v>104.5</v>
      </c>
      <c r="AB11">
        <v>104.8</v>
      </c>
      <c r="AC11">
        <v>102.7</v>
      </c>
      <c r="AD11">
        <v>104.6</v>
      </c>
      <c r="AE11">
        <v>106.4</v>
      </c>
    </row>
    <row r="12" spans="1:31" x14ac:dyDescent="0.25">
      <c r="A12" t="s">
        <v>33</v>
      </c>
      <c r="B12">
        <v>2013</v>
      </c>
      <c r="C12" t="s">
        <v>37</v>
      </c>
      <c r="D12">
        <v>114.6</v>
      </c>
      <c r="E12">
        <v>113.4</v>
      </c>
      <c r="F12">
        <v>106</v>
      </c>
      <c r="G12">
        <v>104.7</v>
      </c>
      <c r="H12">
        <v>102.1</v>
      </c>
      <c r="I12">
        <v>109.5</v>
      </c>
      <c r="J12">
        <v>109.7</v>
      </c>
      <c r="K12">
        <v>104.6</v>
      </c>
      <c r="L12">
        <v>102</v>
      </c>
      <c r="M12">
        <v>103.5</v>
      </c>
      <c r="N12">
        <f t="shared" si="0"/>
        <v>107.00999999999999</v>
      </c>
      <c r="O12">
        <v>108.2</v>
      </c>
      <c r="P12">
        <v>110.6</v>
      </c>
      <c r="Q12">
        <v>108.8</v>
      </c>
      <c r="R12">
        <v>108.5</v>
      </c>
      <c r="S12">
        <v>107.9</v>
      </c>
      <c r="T12">
        <v>106.4</v>
      </c>
      <c r="U12">
        <v>107.7</v>
      </c>
      <c r="V12">
        <v>100.5</v>
      </c>
      <c r="W12">
        <v>106.4</v>
      </c>
      <c r="X12">
        <v>106.5</v>
      </c>
      <c r="Y12">
        <v>105.7</v>
      </c>
      <c r="Z12">
        <v>105</v>
      </c>
      <c r="AA12">
        <v>104</v>
      </c>
      <c r="AB12">
        <v>105.2</v>
      </c>
      <c r="AC12">
        <v>103.2</v>
      </c>
      <c r="AD12">
        <v>105.1</v>
      </c>
      <c r="AE12">
        <v>105.7</v>
      </c>
    </row>
    <row r="13" spans="1:31" x14ac:dyDescent="0.25">
      <c r="A13" t="s">
        <v>34</v>
      </c>
      <c r="B13">
        <v>2013</v>
      </c>
      <c r="C13" t="s">
        <v>37</v>
      </c>
      <c r="D13">
        <v>111.6</v>
      </c>
      <c r="E13">
        <v>110.9</v>
      </c>
      <c r="F13">
        <v>106.6</v>
      </c>
      <c r="G13">
        <v>105.7</v>
      </c>
      <c r="H13">
        <v>104.4</v>
      </c>
      <c r="I13">
        <v>108.9</v>
      </c>
      <c r="J13">
        <v>105.5</v>
      </c>
      <c r="K13">
        <v>105.3</v>
      </c>
      <c r="L13">
        <v>103.5</v>
      </c>
      <c r="M13">
        <v>103.3</v>
      </c>
      <c r="N13">
        <f t="shared" si="0"/>
        <v>106.57000000000001</v>
      </c>
      <c r="O13">
        <v>107.2</v>
      </c>
      <c r="P13">
        <v>109.6</v>
      </c>
      <c r="Q13">
        <v>107.7</v>
      </c>
      <c r="R13">
        <v>107.5</v>
      </c>
      <c r="S13">
        <v>108</v>
      </c>
      <c r="T13">
        <v>107</v>
      </c>
      <c r="U13">
        <v>107.9</v>
      </c>
      <c r="V13">
        <v>100.5</v>
      </c>
      <c r="W13">
        <v>106.5</v>
      </c>
      <c r="X13">
        <v>106.3</v>
      </c>
      <c r="Y13">
        <v>105.3</v>
      </c>
      <c r="Z13">
        <v>104.7</v>
      </c>
      <c r="AA13">
        <v>104.2</v>
      </c>
      <c r="AB13">
        <v>105</v>
      </c>
      <c r="AC13">
        <v>102.9</v>
      </c>
      <c r="AD13">
        <v>104.8</v>
      </c>
      <c r="AE13">
        <v>106.1</v>
      </c>
    </row>
    <row r="14" spans="1:31" x14ac:dyDescent="0.25">
      <c r="A14" t="s">
        <v>30</v>
      </c>
      <c r="B14">
        <v>2013</v>
      </c>
      <c r="C14" t="s">
        <v>38</v>
      </c>
      <c r="D14">
        <v>110.9</v>
      </c>
      <c r="E14">
        <v>109.8</v>
      </c>
      <c r="F14">
        <v>105.9</v>
      </c>
      <c r="G14">
        <v>107.5</v>
      </c>
      <c r="H14">
        <v>105.3</v>
      </c>
      <c r="I14">
        <v>108.1</v>
      </c>
      <c r="J14">
        <v>107.3</v>
      </c>
      <c r="K14">
        <v>106.1</v>
      </c>
      <c r="L14">
        <v>103.7</v>
      </c>
      <c r="M14">
        <v>104</v>
      </c>
      <c r="N14">
        <f t="shared" si="0"/>
        <v>106.85999999999999</v>
      </c>
      <c r="O14">
        <v>107.4</v>
      </c>
      <c r="P14">
        <v>109.9</v>
      </c>
      <c r="Q14">
        <v>108.1</v>
      </c>
      <c r="R14">
        <v>108.1</v>
      </c>
      <c r="S14">
        <v>108.8</v>
      </c>
      <c r="T14">
        <v>107.9</v>
      </c>
      <c r="U14">
        <v>108.6</v>
      </c>
      <c r="V14">
        <v>139.25</v>
      </c>
      <c r="W14">
        <v>107.5</v>
      </c>
      <c r="X14">
        <v>106.8</v>
      </c>
      <c r="Y14">
        <v>105.7</v>
      </c>
      <c r="Z14">
        <v>104.1</v>
      </c>
      <c r="AA14">
        <v>105</v>
      </c>
      <c r="AB14">
        <v>105.5</v>
      </c>
      <c r="AC14">
        <v>102.1</v>
      </c>
      <c r="AD14">
        <v>104.8</v>
      </c>
      <c r="AE14">
        <v>107.2</v>
      </c>
    </row>
    <row r="15" spans="1:31" x14ac:dyDescent="0.25">
      <c r="A15" t="s">
        <v>33</v>
      </c>
      <c r="B15">
        <v>2013</v>
      </c>
      <c r="C15" t="s">
        <v>38</v>
      </c>
      <c r="D15">
        <v>115.4</v>
      </c>
      <c r="E15">
        <v>114.2</v>
      </c>
      <c r="F15">
        <v>102.7</v>
      </c>
      <c r="G15">
        <v>105.5</v>
      </c>
      <c r="H15">
        <v>101.5</v>
      </c>
      <c r="I15">
        <v>110.6</v>
      </c>
      <c r="J15">
        <v>123.7</v>
      </c>
      <c r="K15">
        <v>105.2</v>
      </c>
      <c r="L15">
        <v>101.9</v>
      </c>
      <c r="M15">
        <v>105</v>
      </c>
      <c r="N15">
        <f t="shared" si="0"/>
        <v>108.57000000000001</v>
      </c>
      <c r="O15">
        <v>109.1</v>
      </c>
      <c r="P15">
        <v>111.3</v>
      </c>
      <c r="Q15">
        <v>111.1</v>
      </c>
      <c r="R15">
        <v>109.8</v>
      </c>
      <c r="S15">
        <v>108.5</v>
      </c>
      <c r="T15">
        <v>106.7</v>
      </c>
      <c r="U15">
        <v>108.3</v>
      </c>
      <c r="V15">
        <v>100.5</v>
      </c>
      <c r="W15">
        <v>107.2</v>
      </c>
      <c r="X15">
        <v>107.1</v>
      </c>
      <c r="Y15">
        <v>106.2</v>
      </c>
      <c r="Z15">
        <v>103.9</v>
      </c>
      <c r="AA15">
        <v>104.6</v>
      </c>
      <c r="AB15">
        <v>105.7</v>
      </c>
      <c r="AC15">
        <v>102.6</v>
      </c>
      <c r="AD15">
        <v>104.9</v>
      </c>
      <c r="AE15">
        <v>106.6</v>
      </c>
    </row>
    <row r="16" spans="1:31" x14ac:dyDescent="0.25">
      <c r="A16" t="s">
        <v>34</v>
      </c>
      <c r="B16">
        <v>2013</v>
      </c>
      <c r="C16" t="s">
        <v>38</v>
      </c>
      <c r="D16">
        <v>112.3</v>
      </c>
      <c r="E16">
        <v>111.3</v>
      </c>
      <c r="F16">
        <v>104.7</v>
      </c>
      <c r="G16">
        <v>106.8</v>
      </c>
      <c r="H16">
        <v>103.9</v>
      </c>
      <c r="I16">
        <v>109.3</v>
      </c>
      <c r="J16">
        <v>112.9</v>
      </c>
      <c r="K16">
        <v>105.8</v>
      </c>
      <c r="L16">
        <v>103.1</v>
      </c>
      <c r="M16">
        <v>104.3</v>
      </c>
      <c r="N16">
        <f t="shared" si="0"/>
        <v>107.43999999999998</v>
      </c>
      <c r="O16">
        <v>108.1</v>
      </c>
      <c r="P16">
        <v>110.5</v>
      </c>
      <c r="Q16">
        <v>109.2</v>
      </c>
      <c r="R16">
        <v>108.6</v>
      </c>
      <c r="S16">
        <v>108.7</v>
      </c>
      <c r="T16">
        <v>107.4</v>
      </c>
      <c r="U16">
        <v>108.5</v>
      </c>
      <c r="V16">
        <v>100.5</v>
      </c>
      <c r="W16">
        <v>107.4</v>
      </c>
      <c r="X16">
        <v>106.9</v>
      </c>
      <c r="Y16">
        <v>105.9</v>
      </c>
      <c r="Z16">
        <v>104</v>
      </c>
      <c r="AA16">
        <v>104.8</v>
      </c>
      <c r="AB16">
        <v>105.6</v>
      </c>
      <c r="AC16">
        <v>102.3</v>
      </c>
      <c r="AD16">
        <v>104.8</v>
      </c>
      <c r="AE16">
        <v>106.9</v>
      </c>
    </row>
    <row r="17" spans="1:31" x14ac:dyDescent="0.25">
      <c r="A17" t="s">
        <v>30</v>
      </c>
      <c r="B17">
        <v>2013</v>
      </c>
      <c r="C17" t="s">
        <v>39</v>
      </c>
      <c r="D17">
        <v>112.3</v>
      </c>
      <c r="E17">
        <v>112.1</v>
      </c>
      <c r="F17">
        <v>108.1</v>
      </c>
      <c r="G17">
        <v>108.3</v>
      </c>
      <c r="H17">
        <v>105.9</v>
      </c>
      <c r="I17">
        <v>109.2</v>
      </c>
      <c r="J17">
        <v>118</v>
      </c>
      <c r="K17">
        <v>106.8</v>
      </c>
      <c r="L17">
        <v>104.1</v>
      </c>
      <c r="M17">
        <v>105.4</v>
      </c>
      <c r="N17">
        <f t="shared" si="0"/>
        <v>109.02000000000001</v>
      </c>
      <c r="O17">
        <v>108.2</v>
      </c>
      <c r="P17">
        <v>111</v>
      </c>
      <c r="Q17">
        <v>110.6</v>
      </c>
      <c r="R17">
        <v>109</v>
      </c>
      <c r="S17">
        <v>109.7</v>
      </c>
      <c r="T17">
        <v>108.8</v>
      </c>
      <c r="U17">
        <v>109.5</v>
      </c>
      <c r="V17">
        <v>139.25</v>
      </c>
      <c r="W17">
        <v>108.5</v>
      </c>
      <c r="X17">
        <v>107.5</v>
      </c>
      <c r="Y17">
        <v>106.3</v>
      </c>
      <c r="Z17">
        <v>105</v>
      </c>
      <c r="AA17">
        <v>105.6</v>
      </c>
      <c r="AB17">
        <v>106.5</v>
      </c>
      <c r="AC17">
        <v>102.5</v>
      </c>
      <c r="AD17">
        <v>105.5</v>
      </c>
      <c r="AE17">
        <v>108.9</v>
      </c>
    </row>
    <row r="18" spans="1:31" x14ac:dyDescent="0.25">
      <c r="A18" t="s">
        <v>33</v>
      </c>
      <c r="B18">
        <v>2013</v>
      </c>
      <c r="C18" t="s">
        <v>39</v>
      </c>
      <c r="D18">
        <v>117</v>
      </c>
      <c r="E18">
        <v>120.1</v>
      </c>
      <c r="F18">
        <v>112.5</v>
      </c>
      <c r="G18">
        <v>107.3</v>
      </c>
      <c r="H18">
        <v>101.3</v>
      </c>
      <c r="I18">
        <v>112.4</v>
      </c>
      <c r="J18">
        <v>143.6</v>
      </c>
      <c r="K18">
        <v>105.4</v>
      </c>
      <c r="L18">
        <v>101.4</v>
      </c>
      <c r="M18">
        <v>106.4</v>
      </c>
      <c r="N18">
        <f t="shared" si="0"/>
        <v>112.74000000000001</v>
      </c>
      <c r="O18">
        <v>110</v>
      </c>
      <c r="P18">
        <v>112.2</v>
      </c>
      <c r="Q18">
        <v>115</v>
      </c>
      <c r="R18">
        <v>110.9</v>
      </c>
      <c r="S18">
        <v>109.2</v>
      </c>
      <c r="T18">
        <v>107.2</v>
      </c>
      <c r="U18">
        <v>108.9</v>
      </c>
      <c r="V18">
        <v>106.6</v>
      </c>
      <c r="W18">
        <v>108</v>
      </c>
      <c r="X18">
        <v>107.7</v>
      </c>
      <c r="Y18">
        <v>106.5</v>
      </c>
      <c r="Z18">
        <v>105.2</v>
      </c>
      <c r="AA18">
        <v>105.2</v>
      </c>
      <c r="AB18">
        <v>108.1</v>
      </c>
      <c r="AC18">
        <v>103.3</v>
      </c>
      <c r="AD18">
        <v>106.1</v>
      </c>
      <c r="AE18">
        <v>109.7</v>
      </c>
    </row>
    <row r="19" spans="1:31" x14ac:dyDescent="0.25">
      <c r="A19" t="s">
        <v>34</v>
      </c>
      <c r="B19">
        <v>2013</v>
      </c>
      <c r="C19" t="s">
        <v>39</v>
      </c>
      <c r="D19">
        <v>113.8</v>
      </c>
      <c r="E19">
        <v>114.9</v>
      </c>
      <c r="F19">
        <v>109.8</v>
      </c>
      <c r="G19">
        <v>107.9</v>
      </c>
      <c r="H19">
        <v>104.2</v>
      </c>
      <c r="I19">
        <v>110.7</v>
      </c>
      <c r="J19">
        <v>126.7</v>
      </c>
      <c r="K19">
        <v>106.3</v>
      </c>
      <c r="L19">
        <v>103.2</v>
      </c>
      <c r="M19">
        <v>105.7</v>
      </c>
      <c r="N19">
        <f t="shared" si="0"/>
        <v>110.32000000000001</v>
      </c>
      <c r="O19">
        <v>109</v>
      </c>
      <c r="P19">
        <v>111.6</v>
      </c>
      <c r="Q19">
        <v>112.2</v>
      </c>
      <c r="R19">
        <v>109.5</v>
      </c>
      <c r="S19">
        <v>109.5</v>
      </c>
      <c r="T19">
        <v>108.1</v>
      </c>
      <c r="U19">
        <v>109.3</v>
      </c>
      <c r="V19">
        <v>106.6</v>
      </c>
      <c r="W19">
        <v>108.3</v>
      </c>
      <c r="X19">
        <v>107.6</v>
      </c>
      <c r="Y19">
        <v>106.4</v>
      </c>
      <c r="Z19">
        <v>105.1</v>
      </c>
      <c r="AA19">
        <v>105.4</v>
      </c>
      <c r="AB19">
        <v>107.4</v>
      </c>
      <c r="AC19">
        <v>102.8</v>
      </c>
      <c r="AD19">
        <v>105.8</v>
      </c>
      <c r="AE19">
        <v>109.3</v>
      </c>
    </row>
    <row r="20" spans="1:31" x14ac:dyDescent="0.25">
      <c r="A20" t="s">
        <v>30</v>
      </c>
      <c r="B20">
        <v>2013</v>
      </c>
      <c r="C20" t="s">
        <v>40</v>
      </c>
      <c r="D20">
        <v>113.4</v>
      </c>
      <c r="E20">
        <v>114.9</v>
      </c>
      <c r="F20">
        <v>110.5</v>
      </c>
      <c r="G20">
        <v>109.3</v>
      </c>
      <c r="H20">
        <v>106.2</v>
      </c>
      <c r="I20">
        <v>110.3</v>
      </c>
      <c r="J20">
        <v>129.19999999999999</v>
      </c>
      <c r="K20">
        <v>107.1</v>
      </c>
      <c r="L20">
        <v>104.3</v>
      </c>
      <c r="M20">
        <v>106.4</v>
      </c>
      <c r="N20">
        <f t="shared" si="0"/>
        <v>111.16</v>
      </c>
      <c r="O20">
        <v>109.1</v>
      </c>
      <c r="P20">
        <v>112.1</v>
      </c>
      <c r="Q20">
        <v>113.1</v>
      </c>
      <c r="R20">
        <v>109.8</v>
      </c>
      <c r="S20">
        <v>110.5</v>
      </c>
      <c r="T20">
        <v>109.5</v>
      </c>
      <c r="U20">
        <v>110.3</v>
      </c>
      <c r="V20">
        <v>139.25</v>
      </c>
      <c r="W20">
        <v>109.5</v>
      </c>
      <c r="X20">
        <v>108.3</v>
      </c>
      <c r="Y20">
        <v>106.9</v>
      </c>
      <c r="Z20">
        <v>106.8</v>
      </c>
      <c r="AA20">
        <v>106.4</v>
      </c>
      <c r="AB20">
        <v>107.8</v>
      </c>
      <c r="AC20">
        <v>102.5</v>
      </c>
      <c r="AD20">
        <v>106.5</v>
      </c>
      <c r="AE20">
        <v>110.7</v>
      </c>
    </row>
    <row r="21" spans="1:31" x14ac:dyDescent="0.25">
      <c r="A21" t="s">
        <v>33</v>
      </c>
      <c r="B21">
        <v>2013</v>
      </c>
      <c r="C21" t="s">
        <v>40</v>
      </c>
      <c r="D21">
        <v>117.8</v>
      </c>
      <c r="E21">
        <v>119.2</v>
      </c>
      <c r="F21">
        <v>114</v>
      </c>
      <c r="G21">
        <v>108.3</v>
      </c>
      <c r="H21">
        <v>101.1</v>
      </c>
      <c r="I21">
        <v>113.2</v>
      </c>
      <c r="J21">
        <v>160.9</v>
      </c>
      <c r="K21">
        <v>105.1</v>
      </c>
      <c r="L21">
        <v>101.3</v>
      </c>
      <c r="M21">
        <v>107.5</v>
      </c>
      <c r="N21">
        <f t="shared" si="0"/>
        <v>114.84</v>
      </c>
      <c r="O21">
        <v>110.4</v>
      </c>
      <c r="P21">
        <v>113.1</v>
      </c>
      <c r="Q21">
        <v>117.5</v>
      </c>
      <c r="R21">
        <v>111.7</v>
      </c>
      <c r="S21">
        <v>109.8</v>
      </c>
      <c r="T21">
        <v>107.8</v>
      </c>
      <c r="U21">
        <v>109.5</v>
      </c>
      <c r="V21">
        <v>107.7</v>
      </c>
      <c r="W21">
        <v>108.6</v>
      </c>
      <c r="X21">
        <v>108.1</v>
      </c>
      <c r="Y21">
        <v>107.1</v>
      </c>
      <c r="Z21">
        <v>107.3</v>
      </c>
      <c r="AA21">
        <v>105.9</v>
      </c>
      <c r="AB21">
        <v>110.1</v>
      </c>
      <c r="AC21">
        <v>103.2</v>
      </c>
      <c r="AD21">
        <v>107.3</v>
      </c>
      <c r="AE21">
        <v>111.4</v>
      </c>
    </row>
    <row r="22" spans="1:31" x14ac:dyDescent="0.25">
      <c r="A22" t="s">
        <v>34</v>
      </c>
      <c r="B22">
        <v>2013</v>
      </c>
      <c r="C22" t="s">
        <v>40</v>
      </c>
      <c r="D22">
        <v>114.8</v>
      </c>
      <c r="E22">
        <v>116.4</v>
      </c>
      <c r="F22">
        <v>111.9</v>
      </c>
      <c r="G22">
        <v>108.9</v>
      </c>
      <c r="H22">
        <v>104.3</v>
      </c>
      <c r="I22">
        <v>111.7</v>
      </c>
      <c r="J22">
        <v>140</v>
      </c>
      <c r="K22">
        <v>106.4</v>
      </c>
      <c r="L22">
        <v>103.3</v>
      </c>
      <c r="M22">
        <v>106.8</v>
      </c>
      <c r="N22">
        <f t="shared" si="0"/>
        <v>112.45</v>
      </c>
      <c r="O22">
        <v>109.6</v>
      </c>
      <c r="P22">
        <v>112.6</v>
      </c>
      <c r="Q22">
        <v>114.7</v>
      </c>
      <c r="R22">
        <v>110.3</v>
      </c>
      <c r="S22">
        <v>110.2</v>
      </c>
      <c r="T22">
        <v>108.8</v>
      </c>
      <c r="U22">
        <v>110</v>
      </c>
      <c r="V22">
        <v>107.7</v>
      </c>
      <c r="W22">
        <v>109.2</v>
      </c>
      <c r="X22">
        <v>108.2</v>
      </c>
      <c r="Y22">
        <v>107</v>
      </c>
      <c r="Z22">
        <v>107.1</v>
      </c>
      <c r="AA22">
        <v>106.1</v>
      </c>
      <c r="AB22">
        <v>109.1</v>
      </c>
      <c r="AC22">
        <v>102.8</v>
      </c>
      <c r="AD22">
        <v>106.9</v>
      </c>
      <c r="AE22">
        <v>111</v>
      </c>
    </row>
    <row r="23" spans="1:31" x14ac:dyDescent="0.25">
      <c r="A23" t="s">
        <v>30</v>
      </c>
      <c r="B23">
        <v>2013</v>
      </c>
      <c r="C23" t="s">
        <v>41</v>
      </c>
      <c r="D23">
        <v>114.3</v>
      </c>
      <c r="E23">
        <v>115.4</v>
      </c>
      <c r="F23">
        <v>111.1</v>
      </c>
      <c r="G23">
        <v>110</v>
      </c>
      <c r="H23">
        <v>106.4</v>
      </c>
      <c r="I23">
        <v>110.8</v>
      </c>
      <c r="J23">
        <v>138.9</v>
      </c>
      <c r="K23">
        <v>107.4</v>
      </c>
      <c r="L23">
        <v>104.1</v>
      </c>
      <c r="M23">
        <v>106.9</v>
      </c>
      <c r="N23">
        <f t="shared" si="0"/>
        <v>112.53</v>
      </c>
      <c r="O23">
        <v>109.7</v>
      </c>
      <c r="P23">
        <v>112.6</v>
      </c>
      <c r="Q23">
        <v>114.9</v>
      </c>
      <c r="R23">
        <v>110.7</v>
      </c>
      <c r="S23">
        <v>111.3</v>
      </c>
      <c r="T23">
        <v>110.2</v>
      </c>
      <c r="U23">
        <v>111.1</v>
      </c>
      <c r="V23">
        <v>139.25</v>
      </c>
      <c r="W23">
        <v>109.9</v>
      </c>
      <c r="X23">
        <v>108.7</v>
      </c>
      <c r="Y23">
        <v>107.5</v>
      </c>
      <c r="Z23">
        <v>107.8</v>
      </c>
      <c r="AA23">
        <v>106.8</v>
      </c>
      <c r="AB23">
        <v>108.7</v>
      </c>
      <c r="AC23">
        <v>105</v>
      </c>
      <c r="AD23">
        <v>107.5</v>
      </c>
      <c r="AE23">
        <v>112.1</v>
      </c>
    </row>
    <row r="24" spans="1:31" x14ac:dyDescent="0.25">
      <c r="A24" t="s">
        <v>33</v>
      </c>
      <c r="B24">
        <v>2013</v>
      </c>
      <c r="C24" t="s">
        <v>41</v>
      </c>
      <c r="D24">
        <v>118.3</v>
      </c>
      <c r="E24">
        <v>120.4</v>
      </c>
      <c r="F24">
        <v>112.7</v>
      </c>
      <c r="G24">
        <v>108.9</v>
      </c>
      <c r="H24">
        <v>101.1</v>
      </c>
      <c r="I24">
        <v>108.7</v>
      </c>
      <c r="J24">
        <v>177</v>
      </c>
      <c r="K24">
        <v>104.7</v>
      </c>
      <c r="L24">
        <v>101</v>
      </c>
      <c r="M24">
        <v>108.5</v>
      </c>
      <c r="N24">
        <f t="shared" si="0"/>
        <v>116.13000000000002</v>
      </c>
      <c r="O24">
        <v>110.9</v>
      </c>
      <c r="P24">
        <v>114.3</v>
      </c>
      <c r="Q24">
        <v>119.6</v>
      </c>
      <c r="R24">
        <v>112.4</v>
      </c>
      <c r="S24">
        <v>110.6</v>
      </c>
      <c r="T24">
        <v>108.3</v>
      </c>
      <c r="U24">
        <v>110.2</v>
      </c>
      <c r="V24">
        <v>108.9</v>
      </c>
      <c r="W24">
        <v>109.3</v>
      </c>
      <c r="X24">
        <v>108.7</v>
      </c>
      <c r="Y24">
        <v>107.6</v>
      </c>
      <c r="Z24">
        <v>108.1</v>
      </c>
      <c r="AA24">
        <v>106.5</v>
      </c>
      <c r="AB24">
        <v>110.8</v>
      </c>
      <c r="AC24">
        <v>106</v>
      </c>
      <c r="AD24">
        <v>108.3</v>
      </c>
      <c r="AE24">
        <v>112.7</v>
      </c>
    </row>
    <row r="25" spans="1:31" x14ac:dyDescent="0.25">
      <c r="A25" t="s">
        <v>34</v>
      </c>
      <c r="B25">
        <v>2013</v>
      </c>
      <c r="C25" t="s">
        <v>41</v>
      </c>
      <c r="D25">
        <v>115.6</v>
      </c>
      <c r="E25">
        <v>117.2</v>
      </c>
      <c r="F25">
        <v>111.7</v>
      </c>
      <c r="G25">
        <v>109.6</v>
      </c>
      <c r="H25">
        <v>104.5</v>
      </c>
      <c r="I25">
        <v>109.8</v>
      </c>
      <c r="J25">
        <v>151.80000000000001</v>
      </c>
      <c r="K25">
        <v>106.5</v>
      </c>
      <c r="L25">
        <v>103.1</v>
      </c>
      <c r="M25">
        <v>107.4</v>
      </c>
      <c r="N25">
        <f t="shared" si="0"/>
        <v>113.72</v>
      </c>
      <c r="O25">
        <v>110.2</v>
      </c>
      <c r="P25">
        <v>113.4</v>
      </c>
      <c r="Q25">
        <v>116.6</v>
      </c>
      <c r="R25">
        <v>111.2</v>
      </c>
      <c r="S25">
        <v>111</v>
      </c>
      <c r="T25">
        <v>109.4</v>
      </c>
      <c r="U25">
        <v>110.7</v>
      </c>
      <c r="V25">
        <v>108.9</v>
      </c>
      <c r="W25">
        <v>109.7</v>
      </c>
      <c r="X25">
        <v>108.7</v>
      </c>
      <c r="Y25">
        <v>107.5</v>
      </c>
      <c r="Z25">
        <v>108</v>
      </c>
      <c r="AA25">
        <v>106.6</v>
      </c>
      <c r="AB25">
        <v>109.9</v>
      </c>
      <c r="AC25">
        <v>105.4</v>
      </c>
      <c r="AD25">
        <v>107.9</v>
      </c>
      <c r="AE25">
        <v>112.4</v>
      </c>
    </row>
    <row r="26" spans="1:31" x14ac:dyDescent="0.25">
      <c r="A26" t="s">
        <v>30</v>
      </c>
      <c r="B26">
        <v>2013</v>
      </c>
      <c r="C26" t="s">
        <v>42</v>
      </c>
      <c r="D26">
        <v>115.4</v>
      </c>
      <c r="E26">
        <v>115.7</v>
      </c>
      <c r="F26">
        <v>111.7</v>
      </c>
      <c r="G26">
        <v>111</v>
      </c>
      <c r="H26">
        <v>107.4</v>
      </c>
      <c r="I26">
        <v>110.9</v>
      </c>
      <c r="J26">
        <v>154</v>
      </c>
      <c r="K26">
        <v>108.1</v>
      </c>
      <c r="L26">
        <v>104.2</v>
      </c>
      <c r="M26">
        <v>107.9</v>
      </c>
      <c r="N26">
        <f t="shared" si="0"/>
        <v>114.63000000000002</v>
      </c>
      <c r="O26">
        <v>110.4</v>
      </c>
      <c r="P26">
        <v>114</v>
      </c>
      <c r="Q26">
        <v>117.8</v>
      </c>
      <c r="R26">
        <v>111.7</v>
      </c>
      <c r="S26">
        <v>112.7</v>
      </c>
      <c r="T26">
        <v>111.4</v>
      </c>
      <c r="U26">
        <v>112.5</v>
      </c>
      <c r="V26">
        <v>139.25</v>
      </c>
      <c r="W26">
        <v>111.1</v>
      </c>
      <c r="X26">
        <v>109.6</v>
      </c>
      <c r="Y26">
        <v>108.3</v>
      </c>
      <c r="Z26">
        <v>109.3</v>
      </c>
      <c r="AA26">
        <v>107.7</v>
      </c>
      <c r="AB26">
        <v>109.8</v>
      </c>
      <c r="AC26">
        <v>106.7</v>
      </c>
      <c r="AD26">
        <v>108.7</v>
      </c>
      <c r="AE26">
        <v>114.2</v>
      </c>
    </row>
    <row r="27" spans="1:31" x14ac:dyDescent="0.25">
      <c r="A27" t="s">
        <v>33</v>
      </c>
      <c r="B27">
        <v>2013</v>
      </c>
      <c r="C27" t="s">
        <v>42</v>
      </c>
      <c r="D27">
        <v>118.6</v>
      </c>
      <c r="E27">
        <v>119.1</v>
      </c>
      <c r="F27">
        <v>113.2</v>
      </c>
      <c r="G27">
        <v>109.6</v>
      </c>
      <c r="H27">
        <v>101.7</v>
      </c>
      <c r="I27">
        <v>103.2</v>
      </c>
      <c r="J27">
        <v>174.3</v>
      </c>
      <c r="K27">
        <v>105.1</v>
      </c>
      <c r="L27">
        <v>100.8</v>
      </c>
      <c r="M27">
        <v>109.1</v>
      </c>
      <c r="N27">
        <f t="shared" si="0"/>
        <v>115.47</v>
      </c>
      <c r="O27">
        <v>111.1</v>
      </c>
      <c r="P27">
        <v>115.4</v>
      </c>
      <c r="Q27">
        <v>119.2</v>
      </c>
      <c r="R27">
        <v>112.9</v>
      </c>
      <c r="S27">
        <v>111.4</v>
      </c>
      <c r="T27">
        <v>109</v>
      </c>
      <c r="U27">
        <v>111.1</v>
      </c>
      <c r="V27">
        <v>109.7</v>
      </c>
      <c r="W27">
        <v>109.5</v>
      </c>
      <c r="X27">
        <v>109.6</v>
      </c>
      <c r="Y27">
        <v>107.9</v>
      </c>
      <c r="Z27">
        <v>110.4</v>
      </c>
      <c r="AA27">
        <v>107.4</v>
      </c>
      <c r="AB27">
        <v>111.2</v>
      </c>
      <c r="AC27">
        <v>106.9</v>
      </c>
      <c r="AD27">
        <v>109.4</v>
      </c>
      <c r="AE27">
        <v>113.2</v>
      </c>
    </row>
    <row r="28" spans="1:31" x14ac:dyDescent="0.25">
      <c r="A28" t="s">
        <v>34</v>
      </c>
      <c r="B28">
        <v>2013</v>
      </c>
      <c r="C28" t="s">
        <v>42</v>
      </c>
      <c r="D28">
        <v>116.4</v>
      </c>
      <c r="E28">
        <v>116.9</v>
      </c>
      <c r="F28">
        <v>112.3</v>
      </c>
      <c r="G28">
        <v>110.5</v>
      </c>
      <c r="H28">
        <v>105.3</v>
      </c>
      <c r="I28">
        <v>107.3</v>
      </c>
      <c r="J28">
        <v>160.9</v>
      </c>
      <c r="K28">
        <v>107.1</v>
      </c>
      <c r="L28">
        <v>103.1</v>
      </c>
      <c r="M28">
        <v>108.3</v>
      </c>
      <c r="N28">
        <f t="shared" si="0"/>
        <v>114.80999999999999</v>
      </c>
      <c r="O28">
        <v>110.7</v>
      </c>
      <c r="P28">
        <v>114.6</v>
      </c>
      <c r="Q28">
        <v>118.3</v>
      </c>
      <c r="R28">
        <v>112</v>
      </c>
      <c r="S28">
        <v>112.2</v>
      </c>
      <c r="T28">
        <v>110.4</v>
      </c>
      <c r="U28">
        <v>111.9</v>
      </c>
      <c r="V28">
        <v>109.7</v>
      </c>
      <c r="W28">
        <v>110.5</v>
      </c>
      <c r="X28">
        <v>109.6</v>
      </c>
      <c r="Y28">
        <v>108.1</v>
      </c>
      <c r="Z28">
        <v>109.9</v>
      </c>
      <c r="AA28">
        <v>107.5</v>
      </c>
      <c r="AB28">
        <v>110.6</v>
      </c>
      <c r="AC28">
        <v>106.8</v>
      </c>
      <c r="AD28">
        <v>109</v>
      </c>
      <c r="AE28">
        <v>113.7</v>
      </c>
    </row>
    <row r="29" spans="1:31" x14ac:dyDescent="0.25">
      <c r="A29" t="s">
        <v>30</v>
      </c>
      <c r="B29">
        <v>2013</v>
      </c>
      <c r="C29" t="s">
        <v>43</v>
      </c>
      <c r="D29">
        <v>116.3</v>
      </c>
      <c r="E29">
        <v>115.4</v>
      </c>
      <c r="F29">
        <v>112.6</v>
      </c>
      <c r="G29">
        <v>111.7</v>
      </c>
      <c r="H29">
        <v>107.7</v>
      </c>
      <c r="I29">
        <v>113.2</v>
      </c>
      <c r="J29">
        <v>164.9</v>
      </c>
      <c r="K29">
        <v>108.3</v>
      </c>
      <c r="L29">
        <v>103.9</v>
      </c>
      <c r="M29">
        <v>108.2</v>
      </c>
      <c r="N29">
        <f t="shared" si="0"/>
        <v>116.22</v>
      </c>
      <c r="O29">
        <v>111.1</v>
      </c>
      <c r="P29">
        <v>114.9</v>
      </c>
      <c r="Q29">
        <v>119.8</v>
      </c>
      <c r="R29">
        <v>112.2</v>
      </c>
      <c r="S29">
        <v>113.6</v>
      </c>
      <c r="T29">
        <v>112.3</v>
      </c>
      <c r="U29">
        <v>113.4</v>
      </c>
      <c r="V29">
        <v>139.25</v>
      </c>
      <c r="W29">
        <v>111.6</v>
      </c>
      <c r="X29">
        <v>110.4</v>
      </c>
      <c r="Y29">
        <v>108.9</v>
      </c>
      <c r="Z29">
        <v>109.3</v>
      </c>
      <c r="AA29">
        <v>108.3</v>
      </c>
      <c r="AB29">
        <v>110.2</v>
      </c>
      <c r="AC29">
        <v>107.5</v>
      </c>
      <c r="AD29">
        <v>109.1</v>
      </c>
      <c r="AE29">
        <v>115.5</v>
      </c>
    </row>
    <row r="30" spans="1:31" x14ac:dyDescent="0.25">
      <c r="A30" t="s">
        <v>33</v>
      </c>
      <c r="B30">
        <v>2013</v>
      </c>
      <c r="C30" t="s">
        <v>43</v>
      </c>
      <c r="D30">
        <v>118.9</v>
      </c>
      <c r="E30">
        <v>118.1</v>
      </c>
      <c r="F30">
        <v>114.5</v>
      </c>
      <c r="G30">
        <v>110.4</v>
      </c>
      <c r="H30">
        <v>102.3</v>
      </c>
      <c r="I30">
        <v>106.2</v>
      </c>
      <c r="J30">
        <v>183.5</v>
      </c>
      <c r="K30">
        <v>105.3</v>
      </c>
      <c r="L30">
        <v>100.2</v>
      </c>
      <c r="M30">
        <v>109.6</v>
      </c>
      <c r="N30">
        <f t="shared" si="0"/>
        <v>116.89999999999998</v>
      </c>
      <c r="O30">
        <v>111.4</v>
      </c>
      <c r="P30">
        <v>116</v>
      </c>
      <c r="Q30">
        <v>120.8</v>
      </c>
      <c r="R30">
        <v>113.5</v>
      </c>
      <c r="S30">
        <v>112.5</v>
      </c>
      <c r="T30">
        <v>109.7</v>
      </c>
      <c r="U30">
        <v>112</v>
      </c>
      <c r="V30">
        <v>110.5</v>
      </c>
      <c r="W30">
        <v>109.7</v>
      </c>
      <c r="X30">
        <v>110.2</v>
      </c>
      <c r="Y30">
        <v>108.2</v>
      </c>
      <c r="Z30">
        <v>109.7</v>
      </c>
      <c r="AA30">
        <v>108</v>
      </c>
      <c r="AB30">
        <v>111.3</v>
      </c>
      <c r="AC30">
        <v>107.3</v>
      </c>
      <c r="AD30">
        <v>109.4</v>
      </c>
      <c r="AE30">
        <v>114</v>
      </c>
    </row>
    <row r="31" spans="1:31" x14ac:dyDescent="0.25">
      <c r="A31" t="s">
        <v>34</v>
      </c>
      <c r="B31">
        <v>2013</v>
      </c>
      <c r="C31" t="s">
        <v>43</v>
      </c>
      <c r="D31">
        <v>117.1</v>
      </c>
      <c r="E31">
        <v>116.3</v>
      </c>
      <c r="F31">
        <v>113.3</v>
      </c>
      <c r="G31">
        <v>111.2</v>
      </c>
      <c r="H31">
        <v>105.7</v>
      </c>
      <c r="I31">
        <v>109.9</v>
      </c>
      <c r="J31">
        <v>171.2</v>
      </c>
      <c r="K31">
        <v>107.3</v>
      </c>
      <c r="L31">
        <v>102.7</v>
      </c>
      <c r="M31">
        <v>108.7</v>
      </c>
      <c r="N31">
        <f t="shared" si="0"/>
        <v>116.34</v>
      </c>
      <c r="O31">
        <v>111.2</v>
      </c>
      <c r="P31">
        <v>115.4</v>
      </c>
      <c r="Q31">
        <v>120.2</v>
      </c>
      <c r="R31">
        <v>112.5</v>
      </c>
      <c r="S31">
        <v>113.2</v>
      </c>
      <c r="T31">
        <v>111.2</v>
      </c>
      <c r="U31">
        <v>112.8</v>
      </c>
      <c r="V31">
        <v>110.5</v>
      </c>
      <c r="W31">
        <v>110.9</v>
      </c>
      <c r="X31">
        <v>110.3</v>
      </c>
      <c r="Y31">
        <v>108.6</v>
      </c>
      <c r="Z31">
        <v>109.5</v>
      </c>
      <c r="AA31">
        <v>108.1</v>
      </c>
      <c r="AB31">
        <v>110.8</v>
      </c>
      <c r="AC31">
        <v>107.4</v>
      </c>
      <c r="AD31">
        <v>109.2</v>
      </c>
      <c r="AE31">
        <v>114.8</v>
      </c>
    </row>
    <row r="32" spans="1:31" x14ac:dyDescent="0.25">
      <c r="A32" t="s">
        <v>30</v>
      </c>
      <c r="B32">
        <v>2013</v>
      </c>
      <c r="C32" t="s">
        <v>44</v>
      </c>
      <c r="D32">
        <v>117.3</v>
      </c>
      <c r="E32">
        <v>114.9</v>
      </c>
      <c r="F32">
        <v>116.2</v>
      </c>
      <c r="G32">
        <v>112.8</v>
      </c>
      <c r="H32">
        <v>108.9</v>
      </c>
      <c r="I32">
        <v>116.6</v>
      </c>
      <c r="J32">
        <v>178.1</v>
      </c>
      <c r="K32">
        <v>109.1</v>
      </c>
      <c r="L32">
        <v>103.6</v>
      </c>
      <c r="M32">
        <v>109</v>
      </c>
      <c r="N32">
        <f t="shared" si="0"/>
        <v>118.65</v>
      </c>
      <c r="O32">
        <v>111.8</v>
      </c>
      <c r="P32">
        <v>116</v>
      </c>
      <c r="Q32">
        <v>122.5</v>
      </c>
      <c r="R32">
        <v>112.8</v>
      </c>
      <c r="S32">
        <v>114.6</v>
      </c>
      <c r="T32">
        <v>113.1</v>
      </c>
      <c r="U32">
        <v>114.4</v>
      </c>
      <c r="V32">
        <v>139.25</v>
      </c>
      <c r="W32">
        <v>112.6</v>
      </c>
      <c r="X32">
        <v>111.3</v>
      </c>
      <c r="Y32">
        <v>109.7</v>
      </c>
      <c r="Z32">
        <v>109.6</v>
      </c>
      <c r="AA32">
        <v>108.7</v>
      </c>
      <c r="AB32">
        <v>111</v>
      </c>
      <c r="AC32">
        <v>108.2</v>
      </c>
      <c r="AD32">
        <v>109.8</v>
      </c>
      <c r="AE32">
        <v>117.4</v>
      </c>
    </row>
    <row r="33" spans="1:31" x14ac:dyDescent="0.25">
      <c r="A33" t="s">
        <v>33</v>
      </c>
      <c r="B33">
        <v>2013</v>
      </c>
      <c r="C33" t="s">
        <v>45</v>
      </c>
      <c r="D33">
        <v>119.8</v>
      </c>
      <c r="E33">
        <v>116.3</v>
      </c>
      <c r="F33">
        <v>122.6</v>
      </c>
      <c r="G33">
        <v>112</v>
      </c>
      <c r="H33">
        <v>103.2</v>
      </c>
      <c r="I33">
        <v>110</v>
      </c>
      <c r="J33">
        <v>192.8</v>
      </c>
      <c r="K33">
        <v>106.3</v>
      </c>
      <c r="L33">
        <v>99.5</v>
      </c>
      <c r="M33">
        <v>110.3</v>
      </c>
      <c r="N33">
        <f t="shared" si="0"/>
        <v>119.28</v>
      </c>
      <c r="O33">
        <v>111.8</v>
      </c>
      <c r="P33">
        <v>117.1</v>
      </c>
      <c r="Q33">
        <v>122.9</v>
      </c>
      <c r="R33">
        <v>114.1</v>
      </c>
      <c r="S33">
        <v>113.5</v>
      </c>
      <c r="T33">
        <v>110.3</v>
      </c>
      <c r="U33">
        <v>113</v>
      </c>
      <c r="V33">
        <v>111.1</v>
      </c>
      <c r="W33">
        <v>110</v>
      </c>
      <c r="X33">
        <v>110.9</v>
      </c>
      <c r="Y33">
        <v>108.6</v>
      </c>
      <c r="Z33">
        <v>109.5</v>
      </c>
      <c r="AA33">
        <v>108.5</v>
      </c>
      <c r="AB33">
        <v>111.3</v>
      </c>
      <c r="AC33">
        <v>107.9</v>
      </c>
      <c r="AD33">
        <v>109.6</v>
      </c>
      <c r="AE33">
        <v>115</v>
      </c>
    </row>
    <row r="34" spans="1:31" x14ac:dyDescent="0.25">
      <c r="A34" t="s">
        <v>34</v>
      </c>
      <c r="B34">
        <v>2013</v>
      </c>
      <c r="C34" t="s">
        <v>45</v>
      </c>
      <c r="D34">
        <v>118.1</v>
      </c>
      <c r="E34">
        <v>115.4</v>
      </c>
      <c r="F34">
        <v>118.7</v>
      </c>
      <c r="G34">
        <v>112.5</v>
      </c>
      <c r="H34">
        <v>106.8</v>
      </c>
      <c r="I34">
        <v>113.5</v>
      </c>
      <c r="J34">
        <v>183.1</v>
      </c>
      <c r="K34">
        <v>108.2</v>
      </c>
      <c r="L34">
        <v>102.2</v>
      </c>
      <c r="M34">
        <v>109.4</v>
      </c>
      <c r="N34">
        <f t="shared" si="0"/>
        <v>118.79</v>
      </c>
      <c r="O34">
        <v>111.8</v>
      </c>
      <c r="P34">
        <v>116.5</v>
      </c>
      <c r="Q34">
        <v>122.6</v>
      </c>
      <c r="R34">
        <v>113.1</v>
      </c>
      <c r="S34">
        <v>114.2</v>
      </c>
      <c r="T34">
        <v>111.9</v>
      </c>
      <c r="U34">
        <v>113.8</v>
      </c>
      <c r="V34">
        <v>111.1</v>
      </c>
      <c r="W34">
        <v>111.6</v>
      </c>
      <c r="X34">
        <v>111.1</v>
      </c>
      <c r="Y34">
        <v>109.3</v>
      </c>
      <c r="Z34">
        <v>109.5</v>
      </c>
      <c r="AA34">
        <v>108.6</v>
      </c>
      <c r="AB34">
        <v>111.2</v>
      </c>
      <c r="AC34">
        <v>108.1</v>
      </c>
      <c r="AD34">
        <v>109.7</v>
      </c>
      <c r="AE34">
        <v>116.3</v>
      </c>
    </row>
    <row r="35" spans="1:31" x14ac:dyDescent="0.25">
      <c r="A35" t="s">
        <v>30</v>
      </c>
      <c r="B35">
        <v>2013</v>
      </c>
      <c r="C35" t="s">
        <v>46</v>
      </c>
      <c r="D35">
        <v>118.4</v>
      </c>
      <c r="E35">
        <v>115.9</v>
      </c>
      <c r="F35">
        <v>120.4</v>
      </c>
      <c r="G35">
        <v>113.8</v>
      </c>
      <c r="H35">
        <v>109.5</v>
      </c>
      <c r="I35">
        <v>115.5</v>
      </c>
      <c r="J35">
        <v>145.69999999999999</v>
      </c>
      <c r="K35">
        <v>109.5</v>
      </c>
      <c r="L35">
        <v>102.9</v>
      </c>
      <c r="M35">
        <v>109.8</v>
      </c>
      <c r="N35">
        <f t="shared" si="0"/>
        <v>116.14000000000001</v>
      </c>
      <c r="O35">
        <v>112.1</v>
      </c>
      <c r="P35">
        <v>116.8</v>
      </c>
      <c r="Q35">
        <v>118.7</v>
      </c>
      <c r="R35">
        <v>113.6</v>
      </c>
      <c r="S35">
        <v>115.8</v>
      </c>
      <c r="T35">
        <v>114</v>
      </c>
      <c r="U35">
        <v>115.5</v>
      </c>
      <c r="V35">
        <v>139.25</v>
      </c>
      <c r="W35">
        <v>112.8</v>
      </c>
      <c r="X35">
        <v>112.1</v>
      </c>
      <c r="Y35">
        <v>110.1</v>
      </c>
      <c r="Z35">
        <v>109.9</v>
      </c>
      <c r="AA35">
        <v>109.2</v>
      </c>
      <c r="AB35">
        <v>111.6</v>
      </c>
      <c r="AC35">
        <v>108.1</v>
      </c>
      <c r="AD35">
        <v>110.1</v>
      </c>
      <c r="AE35">
        <v>115.5</v>
      </c>
    </row>
    <row r="36" spans="1:31" x14ac:dyDescent="0.25">
      <c r="A36" t="s">
        <v>33</v>
      </c>
      <c r="B36">
        <v>2013</v>
      </c>
      <c r="C36" t="s">
        <v>46</v>
      </c>
      <c r="D36">
        <v>120.5</v>
      </c>
      <c r="E36">
        <v>118.1</v>
      </c>
      <c r="F36">
        <v>128.5</v>
      </c>
      <c r="G36">
        <v>112.8</v>
      </c>
      <c r="H36">
        <v>103.4</v>
      </c>
      <c r="I36">
        <v>110.7</v>
      </c>
      <c r="J36">
        <v>144.80000000000001</v>
      </c>
      <c r="K36">
        <v>107.1</v>
      </c>
      <c r="L36">
        <v>98.6</v>
      </c>
      <c r="M36">
        <v>111.9</v>
      </c>
      <c r="N36">
        <f t="shared" si="0"/>
        <v>115.64000000000003</v>
      </c>
      <c r="O36">
        <v>112.1</v>
      </c>
      <c r="P36">
        <v>118.1</v>
      </c>
      <c r="Q36">
        <v>117.8</v>
      </c>
      <c r="R36">
        <v>115</v>
      </c>
      <c r="S36">
        <v>114.2</v>
      </c>
      <c r="T36">
        <v>110.9</v>
      </c>
      <c r="U36">
        <v>113.7</v>
      </c>
      <c r="V36">
        <v>110.7</v>
      </c>
      <c r="W36">
        <v>110.4</v>
      </c>
      <c r="X36">
        <v>111.3</v>
      </c>
      <c r="Y36">
        <v>109</v>
      </c>
      <c r="Z36">
        <v>109.7</v>
      </c>
      <c r="AA36">
        <v>108.9</v>
      </c>
      <c r="AB36">
        <v>111.4</v>
      </c>
      <c r="AC36">
        <v>107.7</v>
      </c>
      <c r="AD36">
        <v>109.8</v>
      </c>
      <c r="AE36">
        <v>113.3</v>
      </c>
    </row>
    <row r="37" spans="1:31" x14ac:dyDescent="0.25">
      <c r="A37" t="s">
        <v>34</v>
      </c>
      <c r="B37">
        <v>2013</v>
      </c>
      <c r="C37" t="s">
        <v>46</v>
      </c>
      <c r="D37">
        <v>119.1</v>
      </c>
      <c r="E37">
        <v>116.7</v>
      </c>
      <c r="F37">
        <v>123.5</v>
      </c>
      <c r="G37">
        <v>113.4</v>
      </c>
      <c r="H37">
        <v>107.3</v>
      </c>
      <c r="I37">
        <v>113.3</v>
      </c>
      <c r="J37">
        <v>145.4</v>
      </c>
      <c r="K37">
        <v>108.7</v>
      </c>
      <c r="L37">
        <v>101.5</v>
      </c>
      <c r="M37">
        <v>110.5</v>
      </c>
      <c r="N37">
        <f t="shared" si="0"/>
        <v>115.94000000000001</v>
      </c>
      <c r="O37">
        <v>112.1</v>
      </c>
      <c r="P37">
        <v>117.4</v>
      </c>
      <c r="Q37">
        <v>118.4</v>
      </c>
      <c r="R37">
        <v>114</v>
      </c>
      <c r="S37">
        <v>115.2</v>
      </c>
      <c r="T37">
        <v>112.7</v>
      </c>
      <c r="U37">
        <v>114.8</v>
      </c>
      <c r="V37">
        <v>110.7</v>
      </c>
      <c r="W37">
        <v>111.9</v>
      </c>
      <c r="X37">
        <v>111.7</v>
      </c>
      <c r="Y37">
        <v>109.7</v>
      </c>
      <c r="Z37">
        <v>109.8</v>
      </c>
      <c r="AA37">
        <v>109</v>
      </c>
      <c r="AB37">
        <v>111.5</v>
      </c>
      <c r="AC37">
        <v>107.9</v>
      </c>
      <c r="AD37">
        <v>110</v>
      </c>
      <c r="AE37">
        <v>114.5</v>
      </c>
    </row>
    <row r="38" spans="1:31" x14ac:dyDescent="0.25">
      <c r="A38" t="s">
        <v>30</v>
      </c>
      <c r="B38">
        <v>2014</v>
      </c>
      <c r="C38" t="s">
        <v>31</v>
      </c>
      <c r="D38">
        <v>118.9</v>
      </c>
      <c r="E38">
        <v>117.1</v>
      </c>
      <c r="F38">
        <v>120.5</v>
      </c>
      <c r="G38">
        <v>114.4</v>
      </c>
      <c r="H38">
        <v>109</v>
      </c>
      <c r="I38">
        <v>115.5</v>
      </c>
      <c r="J38">
        <v>123.9</v>
      </c>
      <c r="K38">
        <v>109.6</v>
      </c>
      <c r="L38">
        <v>101.8</v>
      </c>
      <c r="M38">
        <v>110.2</v>
      </c>
      <c r="N38">
        <f t="shared" si="0"/>
        <v>114.09</v>
      </c>
      <c r="O38">
        <v>112.4</v>
      </c>
      <c r="P38">
        <v>117.3</v>
      </c>
      <c r="Q38">
        <v>116</v>
      </c>
      <c r="R38">
        <v>114</v>
      </c>
      <c r="S38">
        <v>116.5</v>
      </c>
      <c r="T38">
        <v>114.5</v>
      </c>
      <c r="U38">
        <v>116.2</v>
      </c>
      <c r="V38">
        <v>139.25</v>
      </c>
      <c r="W38">
        <v>113</v>
      </c>
      <c r="X38">
        <v>112.6</v>
      </c>
      <c r="Y38">
        <v>110.6</v>
      </c>
      <c r="Z38">
        <v>110.5</v>
      </c>
      <c r="AA38">
        <v>109.6</v>
      </c>
      <c r="AB38">
        <v>111.8</v>
      </c>
      <c r="AC38">
        <v>108.3</v>
      </c>
      <c r="AD38">
        <v>110.6</v>
      </c>
      <c r="AE38">
        <v>114.2</v>
      </c>
    </row>
    <row r="39" spans="1:31" x14ac:dyDescent="0.25">
      <c r="A39" t="s">
        <v>33</v>
      </c>
      <c r="B39">
        <v>2014</v>
      </c>
      <c r="C39" t="s">
        <v>31</v>
      </c>
      <c r="D39">
        <v>121.2</v>
      </c>
      <c r="E39">
        <v>122</v>
      </c>
      <c r="F39">
        <v>129.9</v>
      </c>
      <c r="G39">
        <v>113.6</v>
      </c>
      <c r="H39">
        <v>102.9</v>
      </c>
      <c r="I39">
        <v>112.1</v>
      </c>
      <c r="J39">
        <v>118.9</v>
      </c>
      <c r="K39">
        <v>107.5</v>
      </c>
      <c r="L39">
        <v>96.9</v>
      </c>
      <c r="M39">
        <v>112.7</v>
      </c>
      <c r="N39">
        <f t="shared" si="0"/>
        <v>113.77000000000001</v>
      </c>
      <c r="O39">
        <v>112.1</v>
      </c>
      <c r="P39">
        <v>119</v>
      </c>
      <c r="Q39">
        <v>115.5</v>
      </c>
      <c r="R39">
        <v>115.7</v>
      </c>
      <c r="S39">
        <v>114.8</v>
      </c>
      <c r="T39">
        <v>111.3</v>
      </c>
      <c r="U39">
        <v>114.3</v>
      </c>
      <c r="V39">
        <v>111.6</v>
      </c>
      <c r="W39">
        <v>111</v>
      </c>
      <c r="X39">
        <v>111.9</v>
      </c>
      <c r="Y39">
        <v>109.7</v>
      </c>
      <c r="Z39">
        <v>110.8</v>
      </c>
      <c r="AA39">
        <v>109.8</v>
      </c>
      <c r="AB39">
        <v>111.5</v>
      </c>
      <c r="AC39">
        <v>108</v>
      </c>
      <c r="AD39">
        <v>110.5</v>
      </c>
      <c r="AE39">
        <v>112.9</v>
      </c>
    </row>
    <row r="40" spans="1:31" x14ac:dyDescent="0.25">
      <c r="A40" t="s">
        <v>34</v>
      </c>
      <c r="B40">
        <v>2014</v>
      </c>
      <c r="C40" t="s">
        <v>31</v>
      </c>
      <c r="D40">
        <v>119.6</v>
      </c>
      <c r="E40">
        <v>118.8</v>
      </c>
      <c r="F40">
        <v>124.1</v>
      </c>
      <c r="G40">
        <v>114.1</v>
      </c>
      <c r="H40">
        <v>106.8</v>
      </c>
      <c r="I40">
        <v>113.9</v>
      </c>
      <c r="J40">
        <v>122.2</v>
      </c>
      <c r="K40">
        <v>108.9</v>
      </c>
      <c r="L40">
        <v>100.2</v>
      </c>
      <c r="M40">
        <v>111</v>
      </c>
      <c r="N40">
        <f t="shared" si="0"/>
        <v>113.96</v>
      </c>
      <c r="O40">
        <v>112.3</v>
      </c>
      <c r="P40">
        <v>118.1</v>
      </c>
      <c r="Q40">
        <v>115.8</v>
      </c>
      <c r="R40">
        <v>114.5</v>
      </c>
      <c r="S40">
        <v>115.8</v>
      </c>
      <c r="T40">
        <v>113.2</v>
      </c>
      <c r="U40">
        <v>115.4</v>
      </c>
      <c r="V40">
        <v>111.6</v>
      </c>
      <c r="W40">
        <v>112.2</v>
      </c>
      <c r="X40">
        <v>112.3</v>
      </c>
      <c r="Y40">
        <v>110.3</v>
      </c>
      <c r="Z40">
        <v>110.7</v>
      </c>
      <c r="AA40">
        <v>109.7</v>
      </c>
      <c r="AB40">
        <v>111.6</v>
      </c>
      <c r="AC40">
        <v>108.2</v>
      </c>
      <c r="AD40">
        <v>110.6</v>
      </c>
      <c r="AE40">
        <v>113.6</v>
      </c>
    </row>
    <row r="41" spans="1:31" x14ac:dyDescent="0.25">
      <c r="A41" t="s">
        <v>30</v>
      </c>
      <c r="B41">
        <v>2014</v>
      </c>
      <c r="C41" t="s">
        <v>35</v>
      </c>
      <c r="D41">
        <v>119.4</v>
      </c>
      <c r="E41">
        <v>117.7</v>
      </c>
      <c r="F41">
        <v>121.2</v>
      </c>
      <c r="G41">
        <v>115</v>
      </c>
      <c r="H41">
        <v>109</v>
      </c>
      <c r="I41">
        <v>116.6</v>
      </c>
      <c r="J41">
        <v>116</v>
      </c>
      <c r="K41">
        <v>109.8</v>
      </c>
      <c r="L41">
        <v>101.1</v>
      </c>
      <c r="M41">
        <v>110.4</v>
      </c>
      <c r="N41">
        <f t="shared" si="0"/>
        <v>113.62</v>
      </c>
      <c r="O41">
        <v>112.9</v>
      </c>
      <c r="P41">
        <v>117.8</v>
      </c>
      <c r="Q41">
        <v>115.3</v>
      </c>
      <c r="R41">
        <v>114.2</v>
      </c>
      <c r="S41">
        <v>117.1</v>
      </c>
      <c r="T41">
        <v>114.5</v>
      </c>
      <c r="U41">
        <v>116.7</v>
      </c>
      <c r="V41">
        <v>139.25</v>
      </c>
      <c r="W41">
        <v>113.2</v>
      </c>
      <c r="X41">
        <v>112.9</v>
      </c>
      <c r="Y41">
        <v>110.9</v>
      </c>
      <c r="Z41">
        <v>110.8</v>
      </c>
      <c r="AA41">
        <v>109.9</v>
      </c>
      <c r="AB41">
        <v>112</v>
      </c>
      <c r="AC41">
        <v>108.7</v>
      </c>
      <c r="AD41">
        <v>110.9</v>
      </c>
      <c r="AE41">
        <v>114</v>
      </c>
    </row>
    <row r="42" spans="1:31" x14ac:dyDescent="0.25">
      <c r="A42" t="s">
        <v>33</v>
      </c>
      <c r="B42">
        <v>2014</v>
      </c>
      <c r="C42" t="s">
        <v>35</v>
      </c>
      <c r="D42">
        <v>121.9</v>
      </c>
      <c r="E42">
        <v>122</v>
      </c>
      <c r="F42">
        <v>124.5</v>
      </c>
      <c r="G42">
        <v>115.2</v>
      </c>
      <c r="H42">
        <v>102.5</v>
      </c>
      <c r="I42">
        <v>114.1</v>
      </c>
      <c r="J42">
        <v>111.5</v>
      </c>
      <c r="K42">
        <v>108.2</v>
      </c>
      <c r="L42">
        <v>95.4</v>
      </c>
      <c r="M42">
        <v>113.5</v>
      </c>
      <c r="N42">
        <f t="shared" si="0"/>
        <v>112.88</v>
      </c>
      <c r="O42">
        <v>112.1</v>
      </c>
      <c r="P42">
        <v>119.9</v>
      </c>
      <c r="Q42">
        <v>115.2</v>
      </c>
      <c r="R42">
        <v>116.2</v>
      </c>
      <c r="S42">
        <v>115.3</v>
      </c>
      <c r="T42">
        <v>111.7</v>
      </c>
      <c r="U42">
        <v>114.7</v>
      </c>
      <c r="V42">
        <v>112.5</v>
      </c>
      <c r="W42">
        <v>111.1</v>
      </c>
      <c r="X42">
        <v>112.6</v>
      </c>
      <c r="Y42">
        <v>110.4</v>
      </c>
      <c r="Z42">
        <v>111.3</v>
      </c>
      <c r="AA42">
        <v>110.3</v>
      </c>
      <c r="AB42">
        <v>111.6</v>
      </c>
      <c r="AC42">
        <v>108.7</v>
      </c>
      <c r="AD42">
        <v>111</v>
      </c>
      <c r="AE42">
        <v>113.1</v>
      </c>
    </row>
    <row r="43" spans="1:31" x14ac:dyDescent="0.25">
      <c r="A43" t="s">
        <v>34</v>
      </c>
      <c r="B43">
        <v>2014</v>
      </c>
      <c r="C43" t="s">
        <v>35</v>
      </c>
      <c r="D43">
        <v>120.2</v>
      </c>
      <c r="E43">
        <v>119.2</v>
      </c>
      <c r="F43">
        <v>122.5</v>
      </c>
      <c r="G43">
        <v>115.1</v>
      </c>
      <c r="H43">
        <v>106.6</v>
      </c>
      <c r="I43">
        <v>115.4</v>
      </c>
      <c r="J43">
        <v>114.5</v>
      </c>
      <c r="K43">
        <v>109.3</v>
      </c>
      <c r="L43">
        <v>99.2</v>
      </c>
      <c r="M43">
        <v>111.4</v>
      </c>
      <c r="N43">
        <f t="shared" si="0"/>
        <v>113.34</v>
      </c>
      <c r="O43">
        <v>112.6</v>
      </c>
      <c r="P43">
        <v>118.8</v>
      </c>
      <c r="Q43">
        <v>115.3</v>
      </c>
      <c r="R43">
        <v>114.7</v>
      </c>
      <c r="S43">
        <v>116.4</v>
      </c>
      <c r="T43">
        <v>113.3</v>
      </c>
      <c r="U43">
        <v>115.9</v>
      </c>
      <c r="V43">
        <v>112.5</v>
      </c>
      <c r="W43">
        <v>112.4</v>
      </c>
      <c r="X43">
        <v>112.8</v>
      </c>
      <c r="Y43">
        <v>110.7</v>
      </c>
      <c r="Z43">
        <v>111.1</v>
      </c>
      <c r="AA43">
        <v>110.1</v>
      </c>
      <c r="AB43">
        <v>111.8</v>
      </c>
      <c r="AC43">
        <v>108.7</v>
      </c>
      <c r="AD43">
        <v>110.9</v>
      </c>
      <c r="AE43">
        <v>113.6</v>
      </c>
    </row>
    <row r="44" spans="1:31" x14ac:dyDescent="0.25">
      <c r="A44" t="s">
        <v>30</v>
      </c>
      <c r="B44">
        <v>2014</v>
      </c>
      <c r="C44" t="s">
        <v>36</v>
      </c>
      <c r="D44">
        <v>120.1</v>
      </c>
      <c r="E44">
        <v>118.1</v>
      </c>
      <c r="F44">
        <v>120.7</v>
      </c>
      <c r="G44">
        <v>116.1</v>
      </c>
      <c r="H44">
        <v>109.3</v>
      </c>
      <c r="I44">
        <v>119.6</v>
      </c>
      <c r="J44">
        <v>117.9</v>
      </c>
      <c r="K44">
        <v>110.2</v>
      </c>
      <c r="L44">
        <v>101.2</v>
      </c>
      <c r="M44">
        <v>110.7</v>
      </c>
      <c r="N44">
        <f t="shared" si="0"/>
        <v>114.39000000000001</v>
      </c>
      <c r="O44">
        <v>113</v>
      </c>
      <c r="P44">
        <v>118.3</v>
      </c>
      <c r="Q44">
        <v>116.2</v>
      </c>
      <c r="R44">
        <v>114.6</v>
      </c>
      <c r="S44">
        <v>117.5</v>
      </c>
      <c r="T44">
        <v>114.9</v>
      </c>
      <c r="U44">
        <v>117.2</v>
      </c>
      <c r="V44">
        <v>139.25</v>
      </c>
      <c r="W44">
        <v>113.4</v>
      </c>
      <c r="X44">
        <v>113.4</v>
      </c>
      <c r="Y44">
        <v>111.4</v>
      </c>
      <c r="Z44">
        <v>111.2</v>
      </c>
      <c r="AA44">
        <v>110.2</v>
      </c>
      <c r="AB44">
        <v>112.4</v>
      </c>
      <c r="AC44">
        <v>108.9</v>
      </c>
      <c r="AD44">
        <v>111.3</v>
      </c>
      <c r="AE44">
        <v>114.6</v>
      </c>
    </row>
    <row r="45" spans="1:31" x14ac:dyDescent="0.25">
      <c r="A45" t="s">
        <v>33</v>
      </c>
      <c r="B45">
        <v>2014</v>
      </c>
      <c r="C45" t="s">
        <v>36</v>
      </c>
      <c r="D45">
        <v>122.1</v>
      </c>
      <c r="E45">
        <v>121.4</v>
      </c>
      <c r="F45">
        <v>121.5</v>
      </c>
      <c r="G45">
        <v>116.2</v>
      </c>
      <c r="H45">
        <v>102.8</v>
      </c>
      <c r="I45">
        <v>117.7</v>
      </c>
      <c r="J45">
        <v>113.3</v>
      </c>
      <c r="K45">
        <v>108.9</v>
      </c>
      <c r="L45">
        <v>96.3</v>
      </c>
      <c r="M45">
        <v>114.1</v>
      </c>
      <c r="N45">
        <f t="shared" si="0"/>
        <v>113.42999999999999</v>
      </c>
      <c r="O45">
        <v>112.2</v>
      </c>
      <c r="P45">
        <v>120.5</v>
      </c>
      <c r="Q45">
        <v>116</v>
      </c>
      <c r="R45">
        <v>116.7</v>
      </c>
      <c r="S45">
        <v>115.8</v>
      </c>
      <c r="T45">
        <v>112.1</v>
      </c>
      <c r="U45">
        <v>115.2</v>
      </c>
      <c r="V45">
        <v>113.2</v>
      </c>
      <c r="W45">
        <v>110.9</v>
      </c>
      <c r="X45">
        <v>113</v>
      </c>
      <c r="Y45">
        <v>110.8</v>
      </c>
      <c r="Z45">
        <v>111.6</v>
      </c>
      <c r="AA45">
        <v>110.9</v>
      </c>
      <c r="AB45">
        <v>111.8</v>
      </c>
      <c r="AC45">
        <v>109.2</v>
      </c>
      <c r="AD45">
        <v>111.4</v>
      </c>
      <c r="AE45">
        <v>113.7</v>
      </c>
    </row>
    <row r="46" spans="1:31" x14ac:dyDescent="0.25">
      <c r="A46" t="s">
        <v>34</v>
      </c>
      <c r="B46">
        <v>2014</v>
      </c>
      <c r="C46" t="s">
        <v>47</v>
      </c>
      <c r="D46">
        <v>120.7</v>
      </c>
      <c r="E46">
        <v>119.3</v>
      </c>
      <c r="F46">
        <v>121</v>
      </c>
      <c r="G46">
        <v>116.1</v>
      </c>
      <c r="H46">
        <v>106.9</v>
      </c>
      <c r="I46">
        <v>118.7</v>
      </c>
      <c r="J46">
        <v>116.3</v>
      </c>
      <c r="K46">
        <v>109.8</v>
      </c>
      <c r="L46">
        <v>99.6</v>
      </c>
      <c r="M46">
        <v>111.8</v>
      </c>
      <c r="N46">
        <f t="shared" si="0"/>
        <v>114.01999999999998</v>
      </c>
      <c r="O46">
        <v>112.7</v>
      </c>
      <c r="P46">
        <v>119.3</v>
      </c>
      <c r="Q46">
        <v>116.1</v>
      </c>
      <c r="R46">
        <v>115.2</v>
      </c>
      <c r="S46">
        <v>116.8</v>
      </c>
      <c r="T46">
        <v>113.7</v>
      </c>
      <c r="U46">
        <v>116.4</v>
      </c>
      <c r="V46">
        <v>113.2</v>
      </c>
      <c r="W46">
        <v>112.5</v>
      </c>
      <c r="X46">
        <v>113.2</v>
      </c>
      <c r="Y46">
        <v>111.2</v>
      </c>
      <c r="Z46">
        <v>111.4</v>
      </c>
      <c r="AA46">
        <v>110.6</v>
      </c>
      <c r="AB46">
        <v>112</v>
      </c>
      <c r="AC46">
        <v>109</v>
      </c>
      <c r="AD46">
        <v>111.3</v>
      </c>
      <c r="AE46">
        <v>114.2</v>
      </c>
    </row>
    <row r="47" spans="1:31" x14ac:dyDescent="0.25">
      <c r="A47" t="s">
        <v>30</v>
      </c>
      <c r="B47">
        <v>2014</v>
      </c>
      <c r="C47" t="s">
        <v>37</v>
      </c>
      <c r="D47">
        <v>120.2</v>
      </c>
      <c r="E47">
        <v>118.9</v>
      </c>
      <c r="F47">
        <v>118.1</v>
      </c>
      <c r="G47">
        <v>117</v>
      </c>
      <c r="H47">
        <v>109.7</v>
      </c>
      <c r="I47">
        <v>125.5</v>
      </c>
      <c r="J47">
        <v>120.5</v>
      </c>
      <c r="K47">
        <v>111</v>
      </c>
      <c r="L47">
        <v>102.6</v>
      </c>
      <c r="M47">
        <v>111.2</v>
      </c>
      <c r="N47">
        <f t="shared" si="0"/>
        <v>115.47</v>
      </c>
      <c r="O47">
        <v>113.5</v>
      </c>
      <c r="P47">
        <v>118.7</v>
      </c>
      <c r="Q47">
        <v>117.2</v>
      </c>
      <c r="R47">
        <v>115.4</v>
      </c>
      <c r="S47">
        <v>118.1</v>
      </c>
      <c r="T47">
        <v>116.1</v>
      </c>
      <c r="U47">
        <v>117.8</v>
      </c>
      <c r="V47">
        <v>139.25</v>
      </c>
      <c r="W47">
        <v>113.4</v>
      </c>
      <c r="X47">
        <v>113.7</v>
      </c>
      <c r="Y47">
        <v>111.8</v>
      </c>
      <c r="Z47">
        <v>111.2</v>
      </c>
      <c r="AA47">
        <v>110.5</v>
      </c>
      <c r="AB47">
        <v>113</v>
      </c>
      <c r="AC47">
        <v>108.9</v>
      </c>
      <c r="AD47">
        <v>111.5</v>
      </c>
      <c r="AE47">
        <v>115.4</v>
      </c>
    </row>
    <row r="48" spans="1:31" x14ac:dyDescent="0.25">
      <c r="A48" t="s">
        <v>33</v>
      </c>
      <c r="B48">
        <v>2014</v>
      </c>
      <c r="C48" t="s">
        <v>37</v>
      </c>
      <c r="D48">
        <v>122.5</v>
      </c>
      <c r="E48">
        <v>121.7</v>
      </c>
      <c r="F48">
        <v>113.3</v>
      </c>
      <c r="G48">
        <v>117</v>
      </c>
      <c r="H48">
        <v>103.1</v>
      </c>
      <c r="I48">
        <v>126.7</v>
      </c>
      <c r="J48">
        <v>121.2</v>
      </c>
      <c r="K48">
        <v>111</v>
      </c>
      <c r="L48">
        <v>100.3</v>
      </c>
      <c r="M48">
        <v>115.3</v>
      </c>
      <c r="N48">
        <f t="shared" si="0"/>
        <v>115.21000000000001</v>
      </c>
      <c r="O48">
        <v>112.7</v>
      </c>
      <c r="P48">
        <v>121</v>
      </c>
      <c r="Q48">
        <v>118.2</v>
      </c>
      <c r="R48">
        <v>117.6</v>
      </c>
      <c r="S48">
        <v>116.3</v>
      </c>
      <c r="T48">
        <v>112.5</v>
      </c>
      <c r="U48">
        <v>115.7</v>
      </c>
      <c r="V48">
        <v>113.9</v>
      </c>
      <c r="W48">
        <v>110.9</v>
      </c>
      <c r="X48">
        <v>113.4</v>
      </c>
      <c r="Y48">
        <v>111</v>
      </c>
      <c r="Z48">
        <v>111.2</v>
      </c>
      <c r="AA48">
        <v>111.2</v>
      </c>
      <c r="AB48">
        <v>112.5</v>
      </c>
      <c r="AC48">
        <v>109.1</v>
      </c>
      <c r="AD48">
        <v>111.4</v>
      </c>
      <c r="AE48">
        <v>114.7</v>
      </c>
    </row>
    <row r="49" spans="1:31" x14ac:dyDescent="0.25">
      <c r="A49" t="s">
        <v>34</v>
      </c>
      <c r="B49">
        <v>2014</v>
      </c>
      <c r="C49" t="s">
        <v>37</v>
      </c>
      <c r="D49">
        <v>120.9</v>
      </c>
      <c r="E49">
        <v>119.9</v>
      </c>
      <c r="F49">
        <v>116.2</v>
      </c>
      <c r="G49">
        <v>117</v>
      </c>
      <c r="H49">
        <v>107.3</v>
      </c>
      <c r="I49">
        <v>126.1</v>
      </c>
      <c r="J49">
        <v>120.7</v>
      </c>
      <c r="K49">
        <v>111</v>
      </c>
      <c r="L49">
        <v>101.8</v>
      </c>
      <c r="M49">
        <v>112.6</v>
      </c>
      <c r="N49">
        <f t="shared" si="0"/>
        <v>115.35</v>
      </c>
      <c r="O49">
        <v>113.2</v>
      </c>
      <c r="P49">
        <v>119.8</v>
      </c>
      <c r="Q49">
        <v>117.6</v>
      </c>
      <c r="R49">
        <v>116</v>
      </c>
      <c r="S49">
        <v>117.4</v>
      </c>
      <c r="T49">
        <v>114.6</v>
      </c>
      <c r="U49">
        <v>117</v>
      </c>
      <c r="V49">
        <v>113.9</v>
      </c>
      <c r="W49">
        <v>112.5</v>
      </c>
      <c r="X49">
        <v>113.6</v>
      </c>
      <c r="Y49">
        <v>111.5</v>
      </c>
      <c r="Z49">
        <v>111.2</v>
      </c>
      <c r="AA49">
        <v>110.9</v>
      </c>
      <c r="AB49">
        <v>112.7</v>
      </c>
      <c r="AC49">
        <v>109</v>
      </c>
      <c r="AD49">
        <v>111.5</v>
      </c>
      <c r="AE49">
        <v>115.1</v>
      </c>
    </row>
    <row r="50" spans="1:31" x14ac:dyDescent="0.25">
      <c r="A50" t="s">
        <v>30</v>
      </c>
      <c r="B50">
        <v>2014</v>
      </c>
      <c r="C50" t="s">
        <v>38</v>
      </c>
      <c r="D50">
        <v>120.3</v>
      </c>
      <c r="E50">
        <v>120.2</v>
      </c>
      <c r="F50">
        <v>116.9</v>
      </c>
      <c r="G50">
        <v>118</v>
      </c>
      <c r="H50">
        <v>110.1</v>
      </c>
      <c r="I50">
        <v>126.3</v>
      </c>
      <c r="J50">
        <v>123.9</v>
      </c>
      <c r="K50">
        <v>111.5</v>
      </c>
      <c r="L50">
        <v>103.5</v>
      </c>
      <c r="M50">
        <v>111.6</v>
      </c>
      <c r="N50">
        <f t="shared" si="0"/>
        <v>116.22999999999998</v>
      </c>
      <c r="O50">
        <v>114.2</v>
      </c>
      <c r="P50">
        <v>119.2</v>
      </c>
      <c r="Q50">
        <v>118.2</v>
      </c>
      <c r="R50">
        <v>116.3</v>
      </c>
      <c r="S50">
        <v>118.7</v>
      </c>
      <c r="T50">
        <v>116.8</v>
      </c>
      <c r="U50">
        <v>118.5</v>
      </c>
      <c r="V50">
        <v>139.25</v>
      </c>
      <c r="W50">
        <v>113.4</v>
      </c>
      <c r="X50">
        <v>114.1</v>
      </c>
      <c r="Y50">
        <v>112.1</v>
      </c>
      <c r="Z50">
        <v>111.4</v>
      </c>
      <c r="AA50">
        <v>110.9</v>
      </c>
      <c r="AB50">
        <v>113.1</v>
      </c>
      <c r="AC50">
        <v>108.9</v>
      </c>
      <c r="AD50">
        <v>111.8</v>
      </c>
      <c r="AE50">
        <v>116</v>
      </c>
    </row>
    <row r="51" spans="1:31" x14ac:dyDescent="0.25">
      <c r="A51" t="s">
        <v>33</v>
      </c>
      <c r="B51">
        <v>2014</v>
      </c>
      <c r="C51" t="s">
        <v>38</v>
      </c>
      <c r="D51">
        <v>122.7</v>
      </c>
      <c r="E51">
        <v>124.1</v>
      </c>
      <c r="F51">
        <v>114.2</v>
      </c>
      <c r="G51">
        <v>119.1</v>
      </c>
      <c r="H51">
        <v>103.5</v>
      </c>
      <c r="I51">
        <v>129.19999999999999</v>
      </c>
      <c r="J51">
        <v>127</v>
      </c>
      <c r="K51">
        <v>112.6</v>
      </c>
      <c r="L51">
        <v>101.3</v>
      </c>
      <c r="M51">
        <v>117</v>
      </c>
      <c r="N51">
        <f t="shared" si="0"/>
        <v>117.07000000000001</v>
      </c>
      <c r="O51">
        <v>112.9</v>
      </c>
      <c r="P51">
        <v>121.7</v>
      </c>
      <c r="Q51">
        <v>120</v>
      </c>
      <c r="R51">
        <v>118.3</v>
      </c>
      <c r="S51">
        <v>116.8</v>
      </c>
      <c r="T51">
        <v>112.9</v>
      </c>
      <c r="U51">
        <v>116.2</v>
      </c>
      <c r="V51">
        <v>114.3</v>
      </c>
      <c r="W51">
        <v>111.1</v>
      </c>
      <c r="X51">
        <v>114.1</v>
      </c>
      <c r="Y51">
        <v>111.2</v>
      </c>
      <c r="Z51">
        <v>111.3</v>
      </c>
      <c r="AA51">
        <v>111.5</v>
      </c>
      <c r="AB51">
        <v>112.9</v>
      </c>
      <c r="AC51">
        <v>109.3</v>
      </c>
      <c r="AD51">
        <v>111.7</v>
      </c>
      <c r="AE51">
        <v>115.6</v>
      </c>
    </row>
    <row r="52" spans="1:31" x14ac:dyDescent="0.25">
      <c r="A52" t="s">
        <v>34</v>
      </c>
      <c r="B52">
        <v>2014</v>
      </c>
      <c r="C52" t="s">
        <v>38</v>
      </c>
      <c r="D52">
        <v>121.1</v>
      </c>
      <c r="E52">
        <v>121.6</v>
      </c>
      <c r="F52">
        <v>115.9</v>
      </c>
      <c r="G52">
        <v>118.4</v>
      </c>
      <c r="H52">
        <v>107.7</v>
      </c>
      <c r="I52">
        <v>127.7</v>
      </c>
      <c r="J52">
        <v>125</v>
      </c>
      <c r="K52">
        <v>111.9</v>
      </c>
      <c r="L52">
        <v>102.8</v>
      </c>
      <c r="M52">
        <v>113.4</v>
      </c>
      <c r="N52">
        <f t="shared" si="0"/>
        <v>116.55000000000003</v>
      </c>
      <c r="O52">
        <v>113.7</v>
      </c>
      <c r="P52">
        <v>120.4</v>
      </c>
      <c r="Q52">
        <v>118.9</v>
      </c>
      <c r="R52">
        <v>116.8</v>
      </c>
      <c r="S52">
        <v>118</v>
      </c>
      <c r="T52">
        <v>115.2</v>
      </c>
      <c r="U52">
        <v>117.6</v>
      </c>
      <c r="V52">
        <v>114.3</v>
      </c>
      <c r="W52">
        <v>112.5</v>
      </c>
      <c r="X52">
        <v>114.1</v>
      </c>
      <c r="Y52">
        <v>111.8</v>
      </c>
      <c r="Z52">
        <v>111.3</v>
      </c>
      <c r="AA52">
        <v>111.2</v>
      </c>
      <c r="AB52">
        <v>113</v>
      </c>
      <c r="AC52">
        <v>109.1</v>
      </c>
      <c r="AD52">
        <v>111.8</v>
      </c>
      <c r="AE52">
        <v>115.8</v>
      </c>
    </row>
    <row r="53" spans="1:31" x14ac:dyDescent="0.25">
      <c r="A53" t="s">
        <v>30</v>
      </c>
      <c r="B53">
        <v>2014</v>
      </c>
      <c r="C53" t="s">
        <v>39</v>
      </c>
      <c r="D53">
        <v>120.7</v>
      </c>
      <c r="E53">
        <v>121.6</v>
      </c>
      <c r="F53">
        <v>116.1</v>
      </c>
      <c r="G53">
        <v>119.3</v>
      </c>
      <c r="H53">
        <v>110.3</v>
      </c>
      <c r="I53">
        <v>125.8</v>
      </c>
      <c r="J53">
        <v>129.30000000000001</v>
      </c>
      <c r="K53">
        <v>112.2</v>
      </c>
      <c r="L53">
        <v>103.6</v>
      </c>
      <c r="M53">
        <v>112.3</v>
      </c>
      <c r="N53">
        <f t="shared" si="0"/>
        <v>117.11999999999998</v>
      </c>
      <c r="O53">
        <v>114.9</v>
      </c>
      <c r="P53">
        <v>120.1</v>
      </c>
      <c r="Q53">
        <v>119.5</v>
      </c>
      <c r="R53">
        <v>117.3</v>
      </c>
      <c r="S53">
        <v>119.7</v>
      </c>
      <c r="T53">
        <v>117.3</v>
      </c>
      <c r="U53">
        <v>119.3</v>
      </c>
      <c r="V53">
        <v>139.25</v>
      </c>
      <c r="W53">
        <v>114.4</v>
      </c>
      <c r="X53">
        <v>114.9</v>
      </c>
      <c r="Y53">
        <v>112.8</v>
      </c>
      <c r="Z53">
        <v>112.2</v>
      </c>
      <c r="AA53">
        <v>111.4</v>
      </c>
      <c r="AB53">
        <v>114.3</v>
      </c>
      <c r="AC53">
        <v>108</v>
      </c>
      <c r="AD53">
        <v>112.3</v>
      </c>
      <c r="AE53">
        <v>117</v>
      </c>
    </row>
    <row r="54" spans="1:31" x14ac:dyDescent="0.25">
      <c r="A54" t="s">
        <v>33</v>
      </c>
      <c r="B54">
        <v>2014</v>
      </c>
      <c r="C54" t="s">
        <v>39</v>
      </c>
      <c r="D54">
        <v>123.1</v>
      </c>
      <c r="E54">
        <v>125.9</v>
      </c>
      <c r="F54">
        <v>115.4</v>
      </c>
      <c r="G54">
        <v>120.4</v>
      </c>
      <c r="H54">
        <v>103.4</v>
      </c>
      <c r="I54">
        <v>131.19999999999999</v>
      </c>
      <c r="J54">
        <v>137.5</v>
      </c>
      <c r="K54">
        <v>112.8</v>
      </c>
      <c r="L54">
        <v>101.4</v>
      </c>
      <c r="M54">
        <v>118.3</v>
      </c>
      <c r="N54">
        <f t="shared" si="0"/>
        <v>118.93999999999998</v>
      </c>
      <c r="O54">
        <v>113.2</v>
      </c>
      <c r="P54">
        <v>122.4</v>
      </c>
      <c r="Q54">
        <v>122</v>
      </c>
      <c r="R54">
        <v>119</v>
      </c>
      <c r="S54">
        <v>117.4</v>
      </c>
      <c r="T54">
        <v>113.2</v>
      </c>
      <c r="U54">
        <v>116.7</v>
      </c>
      <c r="V54">
        <v>113.9</v>
      </c>
      <c r="W54">
        <v>111.2</v>
      </c>
      <c r="X54">
        <v>114.3</v>
      </c>
      <c r="Y54">
        <v>111.4</v>
      </c>
      <c r="Z54">
        <v>111.5</v>
      </c>
      <c r="AA54">
        <v>111.8</v>
      </c>
      <c r="AB54">
        <v>115.1</v>
      </c>
      <c r="AC54">
        <v>108.7</v>
      </c>
      <c r="AD54">
        <v>112.2</v>
      </c>
      <c r="AE54">
        <v>116.4</v>
      </c>
    </row>
    <row r="55" spans="1:31" x14ac:dyDescent="0.25">
      <c r="A55" t="s">
        <v>34</v>
      </c>
      <c r="B55">
        <v>2014</v>
      </c>
      <c r="C55" t="s">
        <v>39</v>
      </c>
      <c r="D55">
        <v>121.5</v>
      </c>
      <c r="E55">
        <v>123.1</v>
      </c>
      <c r="F55">
        <v>115.8</v>
      </c>
      <c r="G55">
        <v>119.7</v>
      </c>
      <c r="H55">
        <v>107.8</v>
      </c>
      <c r="I55">
        <v>128.30000000000001</v>
      </c>
      <c r="J55">
        <v>132.1</v>
      </c>
      <c r="K55">
        <v>112.4</v>
      </c>
      <c r="L55">
        <v>102.9</v>
      </c>
      <c r="M55">
        <v>114.3</v>
      </c>
      <c r="N55">
        <f t="shared" si="0"/>
        <v>117.79</v>
      </c>
      <c r="O55">
        <v>114.2</v>
      </c>
      <c r="P55">
        <v>121.2</v>
      </c>
      <c r="Q55">
        <v>120.4</v>
      </c>
      <c r="R55">
        <v>117.8</v>
      </c>
      <c r="S55">
        <v>118.8</v>
      </c>
      <c r="T55">
        <v>115.6</v>
      </c>
      <c r="U55">
        <v>118.3</v>
      </c>
      <c r="V55">
        <v>113.9</v>
      </c>
      <c r="W55">
        <v>113.2</v>
      </c>
      <c r="X55">
        <v>114.6</v>
      </c>
      <c r="Y55">
        <v>112.3</v>
      </c>
      <c r="Z55">
        <v>111.8</v>
      </c>
      <c r="AA55">
        <v>111.6</v>
      </c>
      <c r="AB55">
        <v>114.8</v>
      </c>
      <c r="AC55">
        <v>108.3</v>
      </c>
      <c r="AD55">
        <v>112.3</v>
      </c>
      <c r="AE55">
        <v>116.7</v>
      </c>
    </row>
    <row r="56" spans="1:31" x14ac:dyDescent="0.25">
      <c r="A56" t="s">
        <v>30</v>
      </c>
      <c r="B56">
        <v>2014</v>
      </c>
      <c r="C56" t="s">
        <v>40</v>
      </c>
      <c r="D56">
        <v>121.7</v>
      </c>
      <c r="E56">
        <v>122.5</v>
      </c>
      <c r="F56">
        <v>117.7</v>
      </c>
      <c r="G56">
        <v>120.6</v>
      </c>
      <c r="H56">
        <v>110.4</v>
      </c>
      <c r="I56">
        <v>129.1</v>
      </c>
      <c r="J56">
        <v>150.1</v>
      </c>
      <c r="K56">
        <v>113.2</v>
      </c>
      <c r="L56">
        <v>104.8</v>
      </c>
      <c r="M56">
        <v>113.3</v>
      </c>
      <c r="N56">
        <f t="shared" si="0"/>
        <v>120.34</v>
      </c>
      <c r="O56">
        <v>115.6</v>
      </c>
      <c r="P56">
        <v>120.9</v>
      </c>
      <c r="Q56">
        <v>123.3</v>
      </c>
      <c r="R56">
        <v>118</v>
      </c>
      <c r="S56">
        <v>120.7</v>
      </c>
      <c r="T56">
        <v>118.3</v>
      </c>
      <c r="U56">
        <v>120.3</v>
      </c>
      <c r="V56">
        <v>139.25</v>
      </c>
      <c r="W56">
        <v>115.3</v>
      </c>
      <c r="X56">
        <v>115.4</v>
      </c>
      <c r="Y56">
        <v>113.4</v>
      </c>
      <c r="Z56">
        <v>113.2</v>
      </c>
      <c r="AA56">
        <v>111.8</v>
      </c>
      <c r="AB56">
        <v>115.5</v>
      </c>
      <c r="AC56">
        <v>108.8</v>
      </c>
      <c r="AD56">
        <v>113.1</v>
      </c>
      <c r="AE56">
        <v>119.5</v>
      </c>
    </row>
    <row r="57" spans="1:31" x14ac:dyDescent="0.25">
      <c r="A57" t="s">
        <v>33</v>
      </c>
      <c r="B57">
        <v>2014</v>
      </c>
      <c r="C57" t="s">
        <v>40</v>
      </c>
      <c r="D57">
        <v>123.8</v>
      </c>
      <c r="E57">
        <v>126.4</v>
      </c>
      <c r="F57">
        <v>118</v>
      </c>
      <c r="G57">
        <v>121.6</v>
      </c>
      <c r="H57">
        <v>103.5</v>
      </c>
      <c r="I57">
        <v>133.69999999999999</v>
      </c>
      <c r="J57">
        <v>172.4</v>
      </c>
      <c r="K57">
        <v>113.1</v>
      </c>
      <c r="L57">
        <v>102.7</v>
      </c>
      <c r="M57">
        <v>120</v>
      </c>
      <c r="N57">
        <f t="shared" si="0"/>
        <v>123.52000000000001</v>
      </c>
      <c r="O57">
        <v>113.8</v>
      </c>
      <c r="P57">
        <v>123.4</v>
      </c>
      <c r="Q57">
        <v>127.1</v>
      </c>
      <c r="R57">
        <v>121</v>
      </c>
      <c r="S57">
        <v>118</v>
      </c>
      <c r="T57">
        <v>113.6</v>
      </c>
      <c r="U57">
        <v>117.4</v>
      </c>
      <c r="V57">
        <v>114.8</v>
      </c>
      <c r="W57">
        <v>111.6</v>
      </c>
      <c r="X57">
        <v>114.9</v>
      </c>
      <c r="Y57">
        <v>111.5</v>
      </c>
      <c r="Z57">
        <v>113</v>
      </c>
      <c r="AA57">
        <v>112.4</v>
      </c>
      <c r="AB57">
        <v>117.8</v>
      </c>
      <c r="AC57">
        <v>109.7</v>
      </c>
      <c r="AD57">
        <v>113.5</v>
      </c>
      <c r="AE57">
        <v>118.9</v>
      </c>
    </row>
    <row r="58" spans="1:31" x14ac:dyDescent="0.25">
      <c r="A58" t="s">
        <v>34</v>
      </c>
      <c r="B58">
        <v>2014</v>
      </c>
      <c r="C58" t="s">
        <v>40</v>
      </c>
      <c r="D58">
        <v>122.4</v>
      </c>
      <c r="E58">
        <v>123.9</v>
      </c>
      <c r="F58">
        <v>117.8</v>
      </c>
      <c r="G58">
        <v>121</v>
      </c>
      <c r="H58">
        <v>107.9</v>
      </c>
      <c r="I58">
        <v>131.19999999999999</v>
      </c>
      <c r="J58">
        <v>157.69999999999999</v>
      </c>
      <c r="K58">
        <v>113.2</v>
      </c>
      <c r="L58">
        <v>104.1</v>
      </c>
      <c r="M58">
        <v>115.5</v>
      </c>
      <c r="N58">
        <f t="shared" si="0"/>
        <v>121.47</v>
      </c>
      <c r="O58">
        <v>114.8</v>
      </c>
      <c r="P58">
        <v>122.1</v>
      </c>
      <c r="Q58">
        <v>124.7</v>
      </c>
      <c r="R58">
        <v>118.8</v>
      </c>
      <c r="S58">
        <v>119.6</v>
      </c>
      <c r="T58">
        <v>116.3</v>
      </c>
      <c r="U58">
        <v>119.1</v>
      </c>
      <c r="V58">
        <v>114.8</v>
      </c>
      <c r="W58">
        <v>113.9</v>
      </c>
      <c r="X58">
        <v>115.2</v>
      </c>
      <c r="Y58">
        <v>112.7</v>
      </c>
      <c r="Z58">
        <v>113.1</v>
      </c>
      <c r="AA58">
        <v>112.1</v>
      </c>
      <c r="AB58">
        <v>116.8</v>
      </c>
      <c r="AC58">
        <v>109.2</v>
      </c>
      <c r="AD58">
        <v>113.3</v>
      </c>
      <c r="AE58">
        <v>119.2</v>
      </c>
    </row>
    <row r="59" spans="1:31" x14ac:dyDescent="0.25">
      <c r="A59" t="s">
        <v>30</v>
      </c>
      <c r="B59">
        <v>2014</v>
      </c>
      <c r="C59" t="s">
        <v>41</v>
      </c>
      <c r="D59">
        <v>121.8</v>
      </c>
      <c r="E59">
        <v>122.8</v>
      </c>
      <c r="F59">
        <v>117.8</v>
      </c>
      <c r="G59">
        <v>121.9</v>
      </c>
      <c r="H59">
        <v>110.6</v>
      </c>
      <c r="I59">
        <v>129.69999999999999</v>
      </c>
      <c r="J59">
        <v>161.1</v>
      </c>
      <c r="K59">
        <v>114.1</v>
      </c>
      <c r="L59">
        <v>105.1</v>
      </c>
      <c r="M59">
        <v>114.6</v>
      </c>
      <c r="N59">
        <f t="shared" si="0"/>
        <v>121.94999999999997</v>
      </c>
      <c r="O59">
        <v>115.8</v>
      </c>
      <c r="P59">
        <v>121.7</v>
      </c>
      <c r="Q59">
        <v>125.3</v>
      </c>
      <c r="R59">
        <v>118.8</v>
      </c>
      <c r="S59">
        <v>120.9</v>
      </c>
      <c r="T59">
        <v>118.8</v>
      </c>
      <c r="U59">
        <v>120.7</v>
      </c>
      <c r="V59">
        <v>139.25</v>
      </c>
      <c r="W59">
        <v>115.4</v>
      </c>
      <c r="X59">
        <v>115.9</v>
      </c>
      <c r="Y59">
        <v>114</v>
      </c>
      <c r="Z59">
        <v>113.2</v>
      </c>
      <c r="AA59">
        <v>112.2</v>
      </c>
      <c r="AB59">
        <v>116.2</v>
      </c>
      <c r="AC59">
        <v>109.4</v>
      </c>
      <c r="AD59">
        <v>113.5</v>
      </c>
      <c r="AE59">
        <v>120.7</v>
      </c>
    </row>
    <row r="60" spans="1:31" x14ac:dyDescent="0.25">
      <c r="A60" t="s">
        <v>33</v>
      </c>
      <c r="B60">
        <v>2014</v>
      </c>
      <c r="C60" t="s">
        <v>41</v>
      </c>
      <c r="D60">
        <v>124.8</v>
      </c>
      <c r="E60">
        <v>127.3</v>
      </c>
      <c r="F60">
        <v>116.5</v>
      </c>
      <c r="G60">
        <v>122.2</v>
      </c>
      <c r="H60">
        <v>103.6</v>
      </c>
      <c r="I60">
        <v>132.69999999999999</v>
      </c>
      <c r="J60">
        <v>181.9</v>
      </c>
      <c r="K60">
        <v>115.2</v>
      </c>
      <c r="L60">
        <v>102.7</v>
      </c>
      <c r="M60">
        <v>122.1</v>
      </c>
      <c r="N60">
        <f t="shared" si="0"/>
        <v>124.89999999999998</v>
      </c>
      <c r="O60">
        <v>114.4</v>
      </c>
      <c r="P60">
        <v>124.7</v>
      </c>
      <c r="Q60">
        <v>128.9</v>
      </c>
      <c r="R60">
        <v>123</v>
      </c>
      <c r="S60">
        <v>118.6</v>
      </c>
      <c r="T60">
        <v>114.1</v>
      </c>
      <c r="U60">
        <v>117.9</v>
      </c>
      <c r="V60">
        <v>115.5</v>
      </c>
      <c r="W60">
        <v>111.8</v>
      </c>
      <c r="X60">
        <v>115.3</v>
      </c>
      <c r="Y60">
        <v>112.2</v>
      </c>
      <c r="Z60">
        <v>112.5</v>
      </c>
      <c r="AA60">
        <v>112.9</v>
      </c>
      <c r="AB60">
        <v>119.2</v>
      </c>
      <c r="AC60">
        <v>110.5</v>
      </c>
      <c r="AD60">
        <v>113.9</v>
      </c>
      <c r="AE60">
        <v>119.9</v>
      </c>
    </row>
    <row r="61" spans="1:31" x14ac:dyDescent="0.25">
      <c r="A61" t="s">
        <v>34</v>
      </c>
      <c r="B61">
        <v>2014</v>
      </c>
      <c r="C61" t="s">
        <v>41</v>
      </c>
      <c r="D61">
        <v>122.7</v>
      </c>
      <c r="E61">
        <v>124.4</v>
      </c>
      <c r="F61">
        <v>117.3</v>
      </c>
      <c r="G61">
        <v>122</v>
      </c>
      <c r="H61">
        <v>108</v>
      </c>
      <c r="I61">
        <v>131.1</v>
      </c>
      <c r="J61">
        <v>168.2</v>
      </c>
      <c r="K61">
        <v>114.5</v>
      </c>
      <c r="L61">
        <v>104.3</v>
      </c>
      <c r="M61">
        <v>117.1</v>
      </c>
      <c r="N61">
        <f t="shared" si="0"/>
        <v>122.96</v>
      </c>
      <c r="O61">
        <v>115.2</v>
      </c>
      <c r="P61">
        <v>123.1</v>
      </c>
      <c r="Q61">
        <v>126.6</v>
      </c>
      <c r="R61">
        <v>119.9</v>
      </c>
      <c r="S61">
        <v>120</v>
      </c>
      <c r="T61">
        <v>116.8</v>
      </c>
      <c r="U61">
        <v>119.6</v>
      </c>
      <c r="V61">
        <v>115.5</v>
      </c>
      <c r="W61">
        <v>114</v>
      </c>
      <c r="X61">
        <v>115.6</v>
      </c>
      <c r="Y61">
        <v>113.3</v>
      </c>
      <c r="Z61">
        <v>112.8</v>
      </c>
      <c r="AA61">
        <v>112.6</v>
      </c>
      <c r="AB61">
        <v>118</v>
      </c>
      <c r="AC61">
        <v>109.9</v>
      </c>
      <c r="AD61">
        <v>113.7</v>
      </c>
      <c r="AE61">
        <v>120.3</v>
      </c>
    </row>
    <row r="62" spans="1:31" x14ac:dyDescent="0.25">
      <c r="A62" t="s">
        <v>30</v>
      </c>
      <c r="B62">
        <v>2014</v>
      </c>
      <c r="C62" t="s">
        <v>42</v>
      </c>
      <c r="D62">
        <v>122.3</v>
      </c>
      <c r="E62">
        <v>122.4</v>
      </c>
      <c r="F62">
        <v>117.8</v>
      </c>
      <c r="G62">
        <v>122.7</v>
      </c>
      <c r="H62">
        <v>110.4</v>
      </c>
      <c r="I62">
        <v>129.80000000000001</v>
      </c>
      <c r="J62">
        <v>158.80000000000001</v>
      </c>
      <c r="K62">
        <v>115</v>
      </c>
      <c r="L62">
        <v>104.7</v>
      </c>
      <c r="M62">
        <v>114.9</v>
      </c>
      <c r="N62">
        <f t="shared" si="0"/>
        <v>121.88000000000002</v>
      </c>
      <c r="O62">
        <v>116.5</v>
      </c>
      <c r="P62">
        <v>122.6</v>
      </c>
      <c r="Q62">
        <v>125.3</v>
      </c>
      <c r="R62">
        <v>119.5</v>
      </c>
      <c r="S62">
        <v>121.7</v>
      </c>
      <c r="T62">
        <v>119.2</v>
      </c>
      <c r="U62">
        <v>121.3</v>
      </c>
      <c r="V62">
        <v>139.25</v>
      </c>
      <c r="W62">
        <v>115.8</v>
      </c>
      <c r="X62">
        <v>116.7</v>
      </c>
      <c r="Y62">
        <v>114.5</v>
      </c>
      <c r="Z62">
        <v>112.8</v>
      </c>
      <c r="AA62">
        <v>112.6</v>
      </c>
      <c r="AB62">
        <v>116.6</v>
      </c>
      <c r="AC62">
        <v>109.1</v>
      </c>
      <c r="AD62">
        <v>113.7</v>
      </c>
      <c r="AE62">
        <v>120.9</v>
      </c>
    </row>
    <row r="63" spans="1:31" x14ac:dyDescent="0.25">
      <c r="A63" t="s">
        <v>33</v>
      </c>
      <c r="B63">
        <v>2014</v>
      </c>
      <c r="C63" t="s">
        <v>42</v>
      </c>
      <c r="D63">
        <v>124.2</v>
      </c>
      <c r="E63">
        <v>125.4</v>
      </c>
      <c r="F63">
        <v>116.4</v>
      </c>
      <c r="G63">
        <v>122.7</v>
      </c>
      <c r="H63">
        <v>103.5</v>
      </c>
      <c r="I63">
        <v>124.5</v>
      </c>
      <c r="J63">
        <v>168.6</v>
      </c>
      <c r="K63">
        <v>116.9</v>
      </c>
      <c r="L63">
        <v>101.9</v>
      </c>
      <c r="M63">
        <v>122.9</v>
      </c>
      <c r="N63">
        <f t="shared" si="0"/>
        <v>122.70000000000002</v>
      </c>
      <c r="O63">
        <v>114.8</v>
      </c>
      <c r="P63">
        <v>125.2</v>
      </c>
      <c r="Q63">
        <v>126.7</v>
      </c>
      <c r="R63">
        <v>124.3</v>
      </c>
      <c r="S63">
        <v>119.2</v>
      </c>
      <c r="T63">
        <v>114.5</v>
      </c>
      <c r="U63">
        <v>118.4</v>
      </c>
      <c r="V63">
        <v>116.1</v>
      </c>
      <c r="W63">
        <v>111.8</v>
      </c>
      <c r="X63">
        <v>115.5</v>
      </c>
      <c r="Y63">
        <v>112.3</v>
      </c>
      <c r="Z63">
        <v>111.2</v>
      </c>
      <c r="AA63">
        <v>113.4</v>
      </c>
      <c r="AB63">
        <v>120</v>
      </c>
      <c r="AC63">
        <v>110</v>
      </c>
      <c r="AD63">
        <v>113.6</v>
      </c>
      <c r="AE63">
        <v>119.2</v>
      </c>
    </row>
    <row r="64" spans="1:31" x14ac:dyDescent="0.25">
      <c r="A64" t="s">
        <v>34</v>
      </c>
      <c r="B64">
        <v>2014</v>
      </c>
      <c r="C64" t="s">
        <v>42</v>
      </c>
      <c r="D64">
        <v>122.9</v>
      </c>
      <c r="E64">
        <v>123.5</v>
      </c>
      <c r="F64">
        <v>117.3</v>
      </c>
      <c r="G64">
        <v>122.7</v>
      </c>
      <c r="H64">
        <v>107.9</v>
      </c>
      <c r="I64">
        <v>127.3</v>
      </c>
      <c r="J64">
        <v>162.1</v>
      </c>
      <c r="K64">
        <v>115.6</v>
      </c>
      <c r="L64">
        <v>103.8</v>
      </c>
      <c r="M64">
        <v>117.6</v>
      </c>
      <c r="N64">
        <f t="shared" si="0"/>
        <v>122.06999999999998</v>
      </c>
      <c r="O64">
        <v>115.8</v>
      </c>
      <c r="P64">
        <v>123.8</v>
      </c>
      <c r="Q64">
        <v>125.8</v>
      </c>
      <c r="R64">
        <v>120.8</v>
      </c>
      <c r="S64">
        <v>120.7</v>
      </c>
      <c r="T64">
        <v>117.2</v>
      </c>
      <c r="U64">
        <v>120.1</v>
      </c>
      <c r="V64">
        <v>116.1</v>
      </c>
      <c r="W64">
        <v>114.3</v>
      </c>
      <c r="X64">
        <v>116.1</v>
      </c>
      <c r="Y64">
        <v>113.7</v>
      </c>
      <c r="Z64">
        <v>112</v>
      </c>
      <c r="AA64">
        <v>113.1</v>
      </c>
      <c r="AB64">
        <v>118.6</v>
      </c>
      <c r="AC64">
        <v>109.5</v>
      </c>
      <c r="AD64">
        <v>113.7</v>
      </c>
      <c r="AE64">
        <v>120.1</v>
      </c>
    </row>
    <row r="65" spans="1:31" x14ac:dyDescent="0.25">
      <c r="A65" t="s">
        <v>30</v>
      </c>
      <c r="B65">
        <v>2014</v>
      </c>
      <c r="C65" t="s">
        <v>43</v>
      </c>
      <c r="D65">
        <v>122.6</v>
      </c>
      <c r="E65">
        <v>122.5</v>
      </c>
      <c r="F65">
        <v>118.3</v>
      </c>
      <c r="G65">
        <v>123.2</v>
      </c>
      <c r="H65">
        <v>110.5</v>
      </c>
      <c r="I65">
        <v>128.9</v>
      </c>
      <c r="J65">
        <v>155.30000000000001</v>
      </c>
      <c r="K65">
        <v>115.5</v>
      </c>
      <c r="L65">
        <v>104</v>
      </c>
      <c r="M65">
        <v>115.3</v>
      </c>
      <c r="N65">
        <f t="shared" si="0"/>
        <v>121.60999999999999</v>
      </c>
      <c r="O65">
        <v>116.8</v>
      </c>
      <c r="P65">
        <v>123.2</v>
      </c>
      <c r="Q65">
        <v>125.1</v>
      </c>
      <c r="R65">
        <v>120</v>
      </c>
      <c r="S65">
        <v>122.7</v>
      </c>
      <c r="T65">
        <v>120.3</v>
      </c>
      <c r="U65">
        <v>122.3</v>
      </c>
      <c r="V65">
        <v>139.25</v>
      </c>
      <c r="W65">
        <v>116.4</v>
      </c>
      <c r="X65">
        <v>117.5</v>
      </c>
      <c r="Y65">
        <v>115.3</v>
      </c>
      <c r="Z65">
        <v>112.6</v>
      </c>
      <c r="AA65">
        <v>113</v>
      </c>
      <c r="AB65">
        <v>116.9</v>
      </c>
      <c r="AC65">
        <v>109.3</v>
      </c>
      <c r="AD65">
        <v>114</v>
      </c>
      <c r="AE65">
        <v>121</v>
      </c>
    </row>
    <row r="66" spans="1:31" x14ac:dyDescent="0.25">
      <c r="A66" t="s">
        <v>33</v>
      </c>
      <c r="B66">
        <v>2014</v>
      </c>
      <c r="C66" t="s">
        <v>43</v>
      </c>
      <c r="D66">
        <v>124.6</v>
      </c>
      <c r="E66">
        <v>126.1</v>
      </c>
      <c r="F66">
        <v>117.8</v>
      </c>
      <c r="G66">
        <v>123.1</v>
      </c>
      <c r="H66">
        <v>103.5</v>
      </c>
      <c r="I66">
        <v>123.5</v>
      </c>
      <c r="J66">
        <v>159.6</v>
      </c>
      <c r="K66">
        <v>117.4</v>
      </c>
      <c r="L66">
        <v>101.2</v>
      </c>
      <c r="M66">
        <v>123.8</v>
      </c>
      <c r="N66">
        <f t="shared" si="0"/>
        <v>122.05999999999999</v>
      </c>
      <c r="O66">
        <v>115.2</v>
      </c>
      <c r="P66">
        <v>125.9</v>
      </c>
      <c r="Q66">
        <v>125.8</v>
      </c>
      <c r="R66">
        <v>124.3</v>
      </c>
      <c r="S66">
        <v>119.6</v>
      </c>
      <c r="T66">
        <v>114.9</v>
      </c>
      <c r="U66">
        <v>118.9</v>
      </c>
      <c r="V66">
        <v>116.7</v>
      </c>
      <c r="W66">
        <v>112</v>
      </c>
      <c r="X66">
        <v>115.8</v>
      </c>
      <c r="Y66">
        <v>112.6</v>
      </c>
      <c r="Z66">
        <v>111</v>
      </c>
      <c r="AA66">
        <v>113.6</v>
      </c>
      <c r="AB66">
        <v>120.2</v>
      </c>
      <c r="AC66">
        <v>110.1</v>
      </c>
      <c r="AD66">
        <v>113.7</v>
      </c>
      <c r="AE66">
        <v>119.1</v>
      </c>
    </row>
    <row r="67" spans="1:31" x14ac:dyDescent="0.25">
      <c r="A67" t="s">
        <v>34</v>
      </c>
      <c r="B67">
        <v>2014</v>
      </c>
      <c r="C67" t="s">
        <v>43</v>
      </c>
      <c r="D67">
        <v>123.2</v>
      </c>
      <c r="E67">
        <v>123.8</v>
      </c>
      <c r="F67">
        <v>118.1</v>
      </c>
      <c r="G67">
        <v>123.2</v>
      </c>
      <c r="H67">
        <v>107.9</v>
      </c>
      <c r="I67">
        <v>126.4</v>
      </c>
      <c r="J67">
        <v>156.80000000000001</v>
      </c>
      <c r="K67">
        <v>116.1</v>
      </c>
      <c r="L67">
        <v>103.1</v>
      </c>
      <c r="M67">
        <v>118.1</v>
      </c>
      <c r="N67">
        <f t="shared" ref="N67:N130" si="1">AVERAGE(D67:M67)</f>
        <v>121.67</v>
      </c>
      <c r="O67">
        <v>116.1</v>
      </c>
      <c r="P67">
        <v>124.5</v>
      </c>
      <c r="Q67">
        <v>125.4</v>
      </c>
      <c r="R67">
        <v>121.1</v>
      </c>
      <c r="S67">
        <v>121.5</v>
      </c>
      <c r="T67">
        <v>118.1</v>
      </c>
      <c r="U67">
        <v>121</v>
      </c>
      <c r="V67">
        <v>116.7</v>
      </c>
      <c r="W67">
        <v>114.7</v>
      </c>
      <c r="X67">
        <v>116.7</v>
      </c>
      <c r="Y67">
        <v>114.3</v>
      </c>
      <c r="Z67">
        <v>111.8</v>
      </c>
      <c r="AA67">
        <v>113.3</v>
      </c>
      <c r="AB67">
        <v>118.8</v>
      </c>
      <c r="AC67">
        <v>109.6</v>
      </c>
      <c r="AD67">
        <v>113.9</v>
      </c>
      <c r="AE67">
        <v>120.1</v>
      </c>
    </row>
    <row r="68" spans="1:31" x14ac:dyDescent="0.25">
      <c r="A68" t="s">
        <v>30</v>
      </c>
      <c r="B68">
        <v>2014</v>
      </c>
      <c r="C68" t="s">
        <v>45</v>
      </c>
      <c r="D68">
        <v>122.7</v>
      </c>
      <c r="E68">
        <v>122.6</v>
      </c>
      <c r="F68">
        <v>119.9</v>
      </c>
      <c r="G68">
        <v>124</v>
      </c>
      <c r="H68">
        <v>110.5</v>
      </c>
      <c r="I68">
        <v>128.80000000000001</v>
      </c>
      <c r="J68">
        <v>152</v>
      </c>
      <c r="K68">
        <v>116.2</v>
      </c>
      <c r="L68">
        <v>103.3</v>
      </c>
      <c r="M68">
        <v>115.8</v>
      </c>
      <c r="N68">
        <f t="shared" si="1"/>
        <v>121.58</v>
      </c>
      <c r="O68">
        <v>116.8</v>
      </c>
      <c r="P68">
        <v>124.5</v>
      </c>
      <c r="Q68">
        <v>124.9</v>
      </c>
      <c r="R68">
        <v>120.8</v>
      </c>
      <c r="S68">
        <v>123.3</v>
      </c>
      <c r="T68">
        <v>120.5</v>
      </c>
      <c r="U68">
        <v>122.9</v>
      </c>
      <c r="V68">
        <v>139.25</v>
      </c>
      <c r="W68">
        <v>117.3</v>
      </c>
      <c r="X68">
        <v>118.1</v>
      </c>
      <c r="Y68">
        <v>115.9</v>
      </c>
      <c r="Z68">
        <v>112</v>
      </c>
      <c r="AA68">
        <v>113.3</v>
      </c>
      <c r="AB68">
        <v>117.2</v>
      </c>
      <c r="AC68">
        <v>108.8</v>
      </c>
      <c r="AD68">
        <v>114.1</v>
      </c>
      <c r="AE68">
        <v>121.1</v>
      </c>
    </row>
    <row r="69" spans="1:31" x14ac:dyDescent="0.25">
      <c r="A69" t="s">
        <v>33</v>
      </c>
      <c r="B69">
        <v>2014</v>
      </c>
      <c r="C69" t="s">
        <v>45</v>
      </c>
      <c r="D69">
        <v>124.5</v>
      </c>
      <c r="E69">
        <v>125.6</v>
      </c>
      <c r="F69">
        <v>122.7</v>
      </c>
      <c r="G69">
        <v>124.6</v>
      </c>
      <c r="H69">
        <v>103.2</v>
      </c>
      <c r="I69">
        <v>122.2</v>
      </c>
      <c r="J69">
        <v>153.19999999999999</v>
      </c>
      <c r="K69">
        <v>119.3</v>
      </c>
      <c r="L69">
        <v>99.8</v>
      </c>
      <c r="M69">
        <v>124.6</v>
      </c>
      <c r="N69">
        <f t="shared" si="1"/>
        <v>121.96999999999998</v>
      </c>
      <c r="O69">
        <v>115.8</v>
      </c>
      <c r="P69">
        <v>126.9</v>
      </c>
      <c r="Q69">
        <v>125.4</v>
      </c>
      <c r="R69">
        <v>125.8</v>
      </c>
      <c r="S69">
        <v>120.3</v>
      </c>
      <c r="T69">
        <v>115.4</v>
      </c>
      <c r="U69">
        <v>119.5</v>
      </c>
      <c r="V69">
        <v>117.1</v>
      </c>
      <c r="W69">
        <v>112.6</v>
      </c>
      <c r="X69">
        <v>116.4</v>
      </c>
      <c r="Y69">
        <v>113</v>
      </c>
      <c r="Z69">
        <v>109.7</v>
      </c>
      <c r="AA69">
        <v>114</v>
      </c>
      <c r="AB69">
        <v>120.3</v>
      </c>
      <c r="AC69">
        <v>109.6</v>
      </c>
      <c r="AD69">
        <v>113.4</v>
      </c>
      <c r="AE69">
        <v>119</v>
      </c>
    </row>
    <row r="70" spans="1:31" x14ac:dyDescent="0.25">
      <c r="A70" t="s">
        <v>34</v>
      </c>
      <c r="B70">
        <v>2014</v>
      </c>
      <c r="C70" t="s">
        <v>45</v>
      </c>
      <c r="D70">
        <v>123.3</v>
      </c>
      <c r="E70">
        <v>123.7</v>
      </c>
      <c r="F70">
        <v>121</v>
      </c>
      <c r="G70">
        <v>124.2</v>
      </c>
      <c r="H70">
        <v>107.8</v>
      </c>
      <c r="I70">
        <v>125.7</v>
      </c>
      <c r="J70">
        <v>152.4</v>
      </c>
      <c r="K70">
        <v>117.2</v>
      </c>
      <c r="L70">
        <v>102.1</v>
      </c>
      <c r="M70">
        <v>118.7</v>
      </c>
      <c r="N70">
        <f t="shared" si="1"/>
        <v>121.61000000000001</v>
      </c>
      <c r="O70">
        <v>116.4</v>
      </c>
      <c r="P70">
        <v>125.6</v>
      </c>
      <c r="Q70">
        <v>125.1</v>
      </c>
      <c r="R70">
        <v>122.1</v>
      </c>
      <c r="S70">
        <v>122.1</v>
      </c>
      <c r="T70">
        <v>118.4</v>
      </c>
      <c r="U70">
        <v>121.6</v>
      </c>
      <c r="V70">
        <v>117.1</v>
      </c>
      <c r="W70">
        <v>115.5</v>
      </c>
      <c r="X70">
        <v>117.3</v>
      </c>
      <c r="Y70">
        <v>114.8</v>
      </c>
      <c r="Z70">
        <v>110.8</v>
      </c>
      <c r="AA70">
        <v>113.7</v>
      </c>
      <c r="AB70">
        <v>119</v>
      </c>
      <c r="AC70">
        <v>109.1</v>
      </c>
      <c r="AD70">
        <v>113.8</v>
      </c>
      <c r="AE70">
        <v>120.1</v>
      </c>
    </row>
    <row r="71" spans="1:31" x14ac:dyDescent="0.25">
      <c r="A71" t="s">
        <v>30</v>
      </c>
      <c r="B71">
        <v>2014</v>
      </c>
      <c r="C71" t="s">
        <v>46</v>
      </c>
      <c r="D71">
        <v>122.4</v>
      </c>
      <c r="E71">
        <v>122.4</v>
      </c>
      <c r="F71">
        <v>121.8</v>
      </c>
      <c r="G71">
        <v>124.2</v>
      </c>
      <c r="H71">
        <v>110.2</v>
      </c>
      <c r="I71">
        <v>128.6</v>
      </c>
      <c r="J71">
        <v>140.30000000000001</v>
      </c>
      <c r="K71">
        <v>116.3</v>
      </c>
      <c r="L71">
        <v>102</v>
      </c>
      <c r="M71">
        <v>116</v>
      </c>
      <c r="N71">
        <f t="shared" si="1"/>
        <v>120.42</v>
      </c>
      <c r="O71">
        <v>117.3</v>
      </c>
      <c r="P71">
        <v>124.8</v>
      </c>
      <c r="Q71">
        <v>123.3</v>
      </c>
      <c r="R71">
        <v>121.7</v>
      </c>
      <c r="S71">
        <v>123.8</v>
      </c>
      <c r="T71">
        <v>120.6</v>
      </c>
      <c r="U71">
        <v>123.3</v>
      </c>
      <c r="V71">
        <v>139.25</v>
      </c>
      <c r="W71">
        <v>117.4</v>
      </c>
      <c r="X71">
        <v>118.2</v>
      </c>
      <c r="Y71">
        <v>116.2</v>
      </c>
      <c r="Z71">
        <v>111.5</v>
      </c>
      <c r="AA71">
        <v>113.3</v>
      </c>
      <c r="AB71">
        <v>117.7</v>
      </c>
      <c r="AC71">
        <v>109.4</v>
      </c>
      <c r="AD71">
        <v>114.2</v>
      </c>
      <c r="AE71">
        <v>120.3</v>
      </c>
    </row>
    <row r="72" spans="1:31" x14ac:dyDescent="0.25">
      <c r="A72" t="s">
        <v>33</v>
      </c>
      <c r="B72">
        <v>2014</v>
      </c>
      <c r="C72" t="s">
        <v>46</v>
      </c>
      <c r="D72">
        <v>124</v>
      </c>
      <c r="E72">
        <v>124.7</v>
      </c>
      <c r="F72">
        <v>126.3</v>
      </c>
      <c r="G72">
        <v>124.9</v>
      </c>
      <c r="H72">
        <v>103</v>
      </c>
      <c r="I72">
        <v>122.3</v>
      </c>
      <c r="J72">
        <v>141</v>
      </c>
      <c r="K72">
        <v>120.1</v>
      </c>
      <c r="L72">
        <v>97.8</v>
      </c>
      <c r="M72">
        <v>125.4</v>
      </c>
      <c r="N72">
        <f t="shared" si="1"/>
        <v>120.95</v>
      </c>
      <c r="O72">
        <v>116.1</v>
      </c>
      <c r="P72">
        <v>127.6</v>
      </c>
      <c r="Q72">
        <v>124</v>
      </c>
      <c r="R72">
        <v>126.4</v>
      </c>
      <c r="S72">
        <v>120.7</v>
      </c>
      <c r="T72">
        <v>115.8</v>
      </c>
      <c r="U72">
        <v>120</v>
      </c>
      <c r="V72">
        <v>116.5</v>
      </c>
      <c r="W72">
        <v>113</v>
      </c>
      <c r="X72">
        <v>116.8</v>
      </c>
      <c r="Y72">
        <v>113.2</v>
      </c>
      <c r="Z72">
        <v>108.8</v>
      </c>
      <c r="AA72">
        <v>114.3</v>
      </c>
      <c r="AB72">
        <v>120.7</v>
      </c>
      <c r="AC72">
        <v>110.4</v>
      </c>
      <c r="AD72">
        <v>113.4</v>
      </c>
      <c r="AE72">
        <v>118.4</v>
      </c>
    </row>
    <row r="73" spans="1:31" x14ac:dyDescent="0.25">
      <c r="A73" t="s">
        <v>34</v>
      </c>
      <c r="B73">
        <v>2014</v>
      </c>
      <c r="C73" t="s">
        <v>46</v>
      </c>
      <c r="D73">
        <v>122.9</v>
      </c>
      <c r="E73">
        <v>123.2</v>
      </c>
      <c r="F73">
        <v>123.5</v>
      </c>
      <c r="G73">
        <v>124.5</v>
      </c>
      <c r="H73">
        <v>107.6</v>
      </c>
      <c r="I73">
        <v>125.7</v>
      </c>
      <c r="J73">
        <v>140.5</v>
      </c>
      <c r="K73">
        <v>117.6</v>
      </c>
      <c r="L73">
        <v>100.6</v>
      </c>
      <c r="M73">
        <v>119.1</v>
      </c>
      <c r="N73">
        <f t="shared" si="1"/>
        <v>120.52000000000001</v>
      </c>
      <c r="O73">
        <v>116.8</v>
      </c>
      <c r="P73">
        <v>126.1</v>
      </c>
      <c r="Q73">
        <v>123.6</v>
      </c>
      <c r="R73">
        <v>123</v>
      </c>
      <c r="S73">
        <v>122.6</v>
      </c>
      <c r="T73">
        <v>118.6</v>
      </c>
      <c r="U73">
        <v>122</v>
      </c>
      <c r="V73">
        <v>116.5</v>
      </c>
      <c r="W73">
        <v>115.7</v>
      </c>
      <c r="X73">
        <v>117.5</v>
      </c>
      <c r="Y73">
        <v>115.1</v>
      </c>
      <c r="Z73">
        <v>110.1</v>
      </c>
      <c r="AA73">
        <v>113.9</v>
      </c>
      <c r="AB73">
        <v>119.5</v>
      </c>
      <c r="AC73">
        <v>109.8</v>
      </c>
      <c r="AD73">
        <v>113.8</v>
      </c>
      <c r="AE73">
        <v>119.4</v>
      </c>
    </row>
    <row r="74" spans="1:31" x14ac:dyDescent="0.25">
      <c r="A74" t="s">
        <v>30</v>
      </c>
      <c r="B74">
        <v>2015</v>
      </c>
      <c r="C74" t="s">
        <v>31</v>
      </c>
      <c r="D74">
        <v>123.1</v>
      </c>
      <c r="E74">
        <v>123.1</v>
      </c>
      <c r="F74">
        <v>122.1</v>
      </c>
      <c r="G74">
        <v>124.9</v>
      </c>
      <c r="H74">
        <v>111</v>
      </c>
      <c r="I74">
        <v>130.4</v>
      </c>
      <c r="J74">
        <v>132.30000000000001</v>
      </c>
      <c r="K74">
        <v>117.2</v>
      </c>
      <c r="L74">
        <v>100.5</v>
      </c>
      <c r="M74">
        <v>117.2</v>
      </c>
      <c r="N74">
        <f t="shared" si="1"/>
        <v>120.17999999999999</v>
      </c>
      <c r="O74">
        <v>117.9</v>
      </c>
      <c r="P74">
        <v>125.6</v>
      </c>
      <c r="Q74">
        <v>122.8</v>
      </c>
      <c r="R74">
        <v>122.7</v>
      </c>
      <c r="S74">
        <v>124.4</v>
      </c>
      <c r="T74">
        <v>121.6</v>
      </c>
      <c r="U74">
        <v>124</v>
      </c>
      <c r="V74">
        <v>139.25</v>
      </c>
      <c r="W74">
        <v>118.4</v>
      </c>
      <c r="X74">
        <v>118.9</v>
      </c>
      <c r="Y74">
        <v>116.6</v>
      </c>
      <c r="Z74">
        <v>111</v>
      </c>
      <c r="AA74">
        <v>114</v>
      </c>
      <c r="AB74">
        <v>118.2</v>
      </c>
      <c r="AC74">
        <v>110.2</v>
      </c>
      <c r="AD74">
        <v>114.5</v>
      </c>
      <c r="AE74">
        <v>120.3</v>
      </c>
    </row>
    <row r="75" spans="1:31" x14ac:dyDescent="0.25">
      <c r="A75" t="s">
        <v>33</v>
      </c>
      <c r="B75">
        <v>2015</v>
      </c>
      <c r="C75" t="s">
        <v>31</v>
      </c>
      <c r="D75">
        <v>124</v>
      </c>
      <c r="E75">
        <v>125.5</v>
      </c>
      <c r="F75">
        <v>126.6</v>
      </c>
      <c r="G75">
        <v>125.2</v>
      </c>
      <c r="H75">
        <v>104.3</v>
      </c>
      <c r="I75">
        <v>121.3</v>
      </c>
      <c r="J75">
        <v>134.4</v>
      </c>
      <c r="K75">
        <v>122.9</v>
      </c>
      <c r="L75">
        <v>96.1</v>
      </c>
      <c r="M75">
        <v>126.6</v>
      </c>
      <c r="N75">
        <f t="shared" si="1"/>
        <v>120.68999999999998</v>
      </c>
      <c r="O75">
        <v>116.5</v>
      </c>
      <c r="P75">
        <v>128</v>
      </c>
      <c r="Q75">
        <v>123.5</v>
      </c>
      <c r="R75">
        <v>127.4</v>
      </c>
      <c r="S75">
        <v>121</v>
      </c>
      <c r="T75">
        <v>116.1</v>
      </c>
      <c r="U75">
        <v>120.2</v>
      </c>
      <c r="V75">
        <v>117.3</v>
      </c>
      <c r="W75">
        <v>113.4</v>
      </c>
      <c r="X75">
        <v>117.2</v>
      </c>
      <c r="Y75">
        <v>113.7</v>
      </c>
      <c r="Z75">
        <v>107.9</v>
      </c>
      <c r="AA75">
        <v>114.6</v>
      </c>
      <c r="AB75">
        <v>120.8</v>
      </c>
      <c r="AC75">
        <v>111.4</v>
      </c>
      <c r="AD75">
        <v>113.4</v>
      </c>
      <c r="AE75">
        <v>118.5</v>
      </c>
    </row>
    <row r="76" spans="1:31" x14ac:dyDescent="0.25">
      <c r="A76" t="s">
        <v>34</v>
      </c>
      <c r="B76">
        <v>2015</v>
      </c>
      <c r="C76" t="s">
        <v>31</v>
      </c>
      <c r="D76">
        <v>123.4</v>
      </c>
      <c r="E76">
        <v>123.9</v>
      </c>
      <c r="F76">
        <v>123.8</v>
      </c>
      <c r="G76">
        <v>125</v>
      </c>
      <c r="H76">
        <v>108.5</v>
      </c>
      <c r="I76">
        <v>126.2</v>
      </c>
      <c r="J76">
        <v>133</v>
      </c>
      <c r="K76">
        <v>119.1</v>
      </c>
      <c r="L76">
        <v>99</v>
      </c>
      <c r="M76">
        <v>120.3</v>
      </c>
      <c r="N76">
        <f t="shared" si="1"/>
        <v>120.22</v>
      </c>
      <c r="O76">
        <v>117.3</v>
      </c>
      <c r="P76">
        <v>126.7</v>
      </c>
      <c r="Q76">
        <v>123.1</v>
      </c>
      <c r="R76">
        <v>124</v>
      </c>
      <c r="S76">
        <v>123.1</v>
      </c>
      <c r="T76">
        <v>119.3</v>
      </c>
      <c r="U76">
        <v>122.5</v>
      </c>
      <c r="V76">
        <v>117.3</v>
      </c>
      <c r="W76">
        <v>116.5</v>
      </c>
      <c r="X76">
        <v>118.1</v>
      </c>
      <c r="Y76">
        <v>115.5</v>
      </c>
      <c r="Z76">
        <v>109.4</v>
      </c>
      <c r="AA76">
        <v>114.3</v>
      </c>
      <c r="AB76">
        <v>119.7</v>
      </c>
      <c r="AC76">
        <v>110.7</v>
      </c>
      <c r="AD76">
        <v>114</v>
      </c>
      <c r="AE76">
        <v>119.5</v>
      </c>
    </row>
    <row r="77" spans="1:31" x14ac:dyDescent="0.25">
      <c r="A77" t="s">
        <v>30</v>
      </c>
      <c r="B77">
        <v>2015</v>
      </c>
      <c r="C77" t="s">
        <v>35</v>
      </c>
      <c r="D77">
        <v>123.4</v>
      </c>
      <c r="E77">
        <v>124.4</v>
      </c>
      <c r="F77">
        <v>122.1</v>
      </c>
      <c r="G77">
        <v>125.8</v>
      </c>
      <c r="H77">
        <v>111.5</v>
      </c>
      <c r="I77">
        <v>129.4</v>
      </c>
      <c r="J77">
        <v>128.19999999999999</v>
      </c>
      <c r="K77">
        <v>118.8</v>
      </c>
      <c r="L77">
        <v>100</v>
      </c>
      <c r="M77">
        <v>118.6</v>
      </c>
      <c r="N77">
        <f t="shared" si="1"/>
        <v>120.21999999999998</v>
      </c>
      <c r="O77">
        <v>118.8</v>
      </c>
      <c r="P77">
        <v>126.8</v>
      </c>
      <c r="Q77">
        <v>122.8</v>
      </c>
      <c r="R77">
        <v>124.2</v>
      </c>
      <c r="S77">
        <v>125.4</v>
      </c>
      <c r="T77">
        <v>122.7</v>
      </c>
      <c r="U77">
        <v>125</v>
      </c>
      <c r="V77">
        <v>139.25</v>
      </c>
      <c r="W77">
        <v>120</v>
      </c>
      <c r="X77">
        <v>119.6</v>
      </c>
      <c r="Y77">
        <v>117.7</v>
      </c>
      <c r="Z77">
        <v>110.9</v>
      </c>
      <c r="AA77">
        <v>114.8</v>
      </c>
      <c r="AB77">
        <v>118.7</v>
      </c>
      <c r="AC77">
        <v>110.8</v>
      </c>
      <c r="AD77">
        <v>115</v>
      </c>
      <c r="AE77">
        <v>120.6</v>
      </c>
    </row>
    <row r="78" spans="1:31" x14ac:dyDescent="0.25">
      <c r="A78" t="s">
        <v>33</v>
      </c>
      <c r="B78">
        <v>2015</v>
      </c>
      <c r="C78" t="s">
        <v>35</v>
      </c>
      <c r="D78">
        <v>124.3</v>
      </c>
      <c r="E78">
        <v>126.5</v>
      </c>
      <c r="F78">
        <v>119.5</v>
      </c>
      <c r="G78">
        <v>125.6</v>
      </c>
      <c r="H78">
        <v>104.9</v>
      </c>
      <c r="I78">
        <v>121.6</v>
      </c>
      <c r="J78">
        <v>131.80000000000001</v>
      </c>
      <c r="K78">
        <v>125.1</v>
      </c>
      <c r="L78">
        <v>95</v>
      </c>
      <c r="M78">
        <v>127.7</v>
      </c>
      <c r="N78">
        <f t="shared" si="1"/>
        <v>120.20000000000002</v>
      </c>
      <c r="O78">
        <v>116.8</v>
      </c>
      <c r="P78">
        <v>128.6</v>
      </c>
      <c r="Q78">
        <v>123.7</v>
      </c>
      <c r="R78">
        <v>128.1</v>
      </c>
      <c r="S78">
        <v>121.3</v>
      </c>
      <c r="T78">
        <v>116.5</v>
      </c>
      <c r="U78">
        <v>120.6</v>
      </c>
      <c r="V78">
        <v>118.1</v>
      </c>
      <c r="W78">
        <v>114</v>
      </c>
      <c r="X78">
        <v>117.7</v>
      </c>
      <c r="Y78">
        <v>114.1</v>
      </c>
      <c r="Z78">
        <v>106.8</v>
      </c>
      <c r="AA78">
        <v>114.9</v>
      </c>
      <c r="AB78">
        <v>120.4</v>
      </c>
      <c r="AC78">
        <v>111.7</v>
      </c>
      <c r="AD78">
        <v>113.2</v>
      </c>
      <c r="AE78">
        <v>118.7</v>
      </c>
    </row>
    <row r="79" spans="1:31" x14ac:dyDescent="0.25">
      <c r="A79" t="s">
        <v>34</v>
      </c>
      <c r="B79">
        <v>2015</v>
      </c>
      <c r="C79" t="s">
        <v>35</v>
      </c>
      <c r="D79">
        <v>123.7</v>
      </c>
      <c r="E79">
        <v>125.1</v>
      </c>
      <c r="F79">
        <v>121.1</v>
      </c>
      <c r="G79">
        <v>125.7</v>
      </c>
      <c r="H79">
        <v>109.1</v>
      </c>
      <c r="I79">
        <v>125.8</v>
      </c>
      <c r="J79">
        <v>129.4</v>
      </c>
      <c r="K79">
        <v>120.9</v>
      </c>
      <c r="L79">
        <v>98.3</v>
      </c>
      <c r="M79">
        <v>121.6</v>
      </c>
      <c r="N79">
        <f t="shared" si="1"/>
        <v>120.06999999999998</v>
      </c>
      <c r="O79">
        <v>118</v>
      </c>
      <c r="P79">
        <v>127.6</v>
      </c>
      <c r="Q79">
        <v>123.1</v>
      </c>
      <c r="R79">
        <v>125.2</v>
      </c>
      <c r="S79">
        <v>123.8</v>
      </c>
      <c r="T79">
        <v>120.1</v>
      </c>
      <c r="U79">
        <v>123.3</v>
      </c>
      <c r="V79">
        <v>118.1</v>
      </c>
      <c r="W79">
        <v>117.7</v>
      </c>
      <c r="X79">
        <v>118.7</v>
      </c>
      <c r="Y79">
        <v>116.3</v>
      </c>
      <c r="Z79">
        <v>108.7</v>
      </c>
      <c r="AA79">
        <v>114.9</v>
      </c>
      <c r="AB79">
        <v>119.7</v>
      </c>
      <c r="AC79">
        <v>111.2</v>
      </c>
      <c r="AD79">
        <v>114.1</v>
      </c>
      <c r="AE79">
        <v>119.7</v>
      </c>
    </row>
    <row r="80" spans="1:31" x14ac:dyDescent="0.25">
      <c r="A80" t="s">
        <v>30</v>
      </c>
      <c r="B80">
        <v>2015</v>
      </c>
      <c r="C80" t="s">
        <v>36</v>
      </c>
      <c r="D80">
        <v>123.3</v>
      </c>
      <c r="E80">
        <v>124.7</v>
      </c>
      <c r="F80">
        <v>118.9</v>
      </c>
      <c r="G80">
        <v>126</v>
      </c>
      <c r="H80">
        <v>111.8</v>
      </c>
      <c r="I80">
        <v>130.9</v>
      </c>
      <c r="J80">
        <v>128</v>
      </c>
      <c r="K80">
        <v>119.9</v>
      </c>
      <c r="L80">
        <v>98.9</v>
      </c>
      <c r="M80">
        <v>119.4</v>
      </c>
      <c r="N80">
        <f t="shared" si="1"/>
        <v>120.17999999999999</v>
      </c>
      <c r="O80">
        <v>118.9</v>
      </c>
      <c r="P80">
        <v>127.7</v>
      </c>
      <c r="Q80">
        <v>123.1</v>
      </c>
      <c r="R80">
        <v>124.7</v>
      </c>
      <c r="S80">
        <v>126</v>
      </c>
      <c r="T80">
        <v>122.9</v>
      </c>
      <c r="U80">
        <v>125.5</v>
      </c>
      <c r="V80">
        <v>139.25</v>
      </c>
      <c r="W80">
        <v>120.6</v>
      </c>
      <c r="X80">
        <v>120.2</v>
      </c>
      <c r="Y80">
        <v>118.2</v>
      </c>
      <c r="Z80">
        <v>111.6</v>
      </c>
      <c r="AA80">
        <v>115.5</v>
      </c>
      <c r="AB80">
        <v>119.4</v>
      </c>
      <c r="AC80">
        <v>110.8</v>
      </c>
      <c r="AD80">
        <v>115.5</v>
      </c>
      <c r="AE80">
        <v>121.1</v>
      </c>
    </row>
    <row r="81" spans="1:31" x14ac:dyDescent="0.25">
      <c r="A81" t="s">
        <v>33</v>
      </c>
      <c r="B81">
        <v>2015</v>
      </c>
      <c r="C81" t="s">
        <v>36</v>
      </c>
      <c r="D81">
        <v>124</v>
      </c>
      <c r="E81">
        <v>126.7</v>
      </c>
      <c r="F81">
        <v>113.5</v>
      </c>
      <c r="G81">
        <v>125.9</v>
      </c>
      <c r="H81">
        <v>104.8</v>
      </c>
      <c r="I81">
        <v>123.8</v>
      </c>
      <c r="J81">
        <v>131.4</v>
      </c>
      <c r="K81">
        <v>127.2</v>
      </c>
      <c r="L81">
        <v>93.2</v>
      </c>
      <c r="M81">
        <v>127.4</v>
      </c>
      <c r="N81">
        <f t="shared" si="1"/>
        <v>119.79</v>
      </c>
      <c r="O81">
        <v>117</v>
      </c>
      <c r="P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row>
    <row r="82" spans="1:31" x14ac:dyDescent="0.25">
      <c r="A82" t="s">
        <v>34</v>
      </c>
      <c r="B82">
        <v>2015</v>
      </c>
      <c r="C82" t="s">
        <v>36</v>
      </c>
      <c r="D82">
        <v>123.5</v>
      </c>
      <c r="E82">
        <v>125.4</v>
      </c>
      <c r="F82">
        <v>116.8</v>
      </c>
      <c r="G82">
        <v>126</v>
      </c>
      <c r="H82">
        <v>109.2</v>
      </c>
      <c r="I82">
        <v>127.6</v>
      </c>
      <c r="J82">
        <v>129.19999999999999</v>
      </c>
      <c r="K82">
        <v>122.4</v>
      </c>
      <c r="L82">
        <v>97</v>
      </c>
      <c r="M82">
        <v>122.1</v>
      </c>
      <c r="N82">
        <f t="shared" si="1"/>
        <v>119.91999999999999</v>
      </c>
      <c r="O82">
        <v>118.1</v>
      </c>
      <c r="P82">
        <v>128.4</v>
      </c>
      <c r="Q82">
        <v>123.4</v>
      </c>
      <c r="R82">
        <v>125.8</v>
      </c>
      <c r="S82">
        <v>124.3</v>
      </c>
      <c r="T82">
        <v>120.4</v>
      </c>
      <c r="U82">
        <v>123.7</v>
      </c>
      <c r="V82">
        <v>118.6</v>
      </c>
      <c r="W82">
        <v>118.3</v>
      </c>
      <c r="X82">
        <v>119.2</v>
      </c>
      <c r="Y82">
        <v>116.7</v>
      </c>
      <c r="Z82">
        <v>109.9</v>
      </c>
      <c r="AA82">
        <v>115.4</v>
      </c>
      <c r="AB82">
        <v>120.1</v>
      </c>
      <c r="AC82">
        <v>111</v>
      </c>
      <c r="AD82">
        <v>114.7</v>
      </c>
      <c r="AE82">
        <v>120.2</v>
      </c>
    </row>
    <row r="83" spans="1:31" x14ac:dyDescent="0.25">
      <c r="A83" t="s">
        <v>30</v>
      </c>
      <c r="B83">
        <v>2015</v>
      </c>
      <c r="C83" t="s">
        <v>37</v>
      </c>
      <c r="D83">
        <v>123.3</v>
      </c>
      <c r="E83">
        <v>125.5</v>
      </c>
      <c r="F83">
        <v>117.2</v>
      </c>
      <c r="G83">
        <v>126.8</v>
      </c>
      <c r="H83">
        <v>111.9</v>
      </c>
      <c r="I83">
        <v>134.19999999999999</v>
      </c>
      <c r="J83">
        <v>127.5</v>
      </c>
      <c r="K83">
        <v>121.5</v>
      </c>
      <c r="L83">
        <v>97.8</v>
      </c>
      <c r="M83">
        <v>119.8</v>
      </c>
      <c r="N83">
        <f t="shared" si="1"/>
        <v>120.55</v>
      </c>
      <c r="O83">
        <v>119.4</v>
      </c>
      <c r="P83">
        <v>128.69999999999999</v>
      </c>
      <c r="Q83">
        <v>123.6</v>
      </c>
      <c r="R83">
        <v>125.7</v>
      </c>
      <c r="S83">
        <v>126.4</v>
      </c>
      <c r="T83">
        <v>123.3</v>
      </c>
      <c r="U83">
        <v>126</v>
      </c>
      <c r="V83">
        <v>139.25</v>
      </c>
      <c r="W83">
        <v>121.2</v>
      </c>
      <c r="X83">
        <v>120.9</v>
      </c>
      <c r="Y83">
        <v>118.6</v>
      </c>
      <c r="Z83">
        <v>111.9</v>
      </c>
      <c r="AA83">
        <v>116.2</v>
      </c>
      <c r="AB83">
        <v>119.9</v>
      </c>
      <c r="AC83">
        <v>111.6</v>
      </c>
      <c r="AD83">
        <v>116</v>
      </c>
      <c r="AE83">
        <v>121.5</v>
      </c>
    </row>
    <row r="84" spans="1:31" x14ac:dyDescent="0.25">
      <c r="A84" t="s">
        <v>33</v>
      </c>
      <c r="B84">
        <v>2015</v>
      </c>
      <c r="C84" t="s">
        <v>37</v>
      </c>
      <c r="D84">
        <v>123.8</v>
      </c>
      <c r="E84">
        <v>128.19999999999999</v>
      </c>
      <c r="F84">
        <v>110</v>
      </c>
      <c r="G84">
        <v>126.3</v>
      </c>
      <c r="H84">
        <v>104.5</v>
      </c>
      <c r="I84">
        <v>130.6</v>
      </c>
      <c r="J84">
        <v>130.80000000000001</v>
      </c>
      <c r="K84">
        <v>131.30000000000001</v>
      </c>
      <c r="L84">
        <v>91.6</v>
      </c>
      <c r="M84">
        <v>127.7</v>
      </c>
      <c r="N84">
        <f t="shared" si="1"/>
        <v>120.47999999999999</v>
      </c>
      <c r="O84">
        <v>117.2</v>
      </c>
      <c r="P84">
        <v>129.5</v>
      </c>
      <c r="Q84">
        <v>124.6</v>
      </c>
      <c r="R84">
        <v>130.1</v>
      </c>
      <c r="S84">
        <v>122.1</v>
      </c>
      <c r="T84">
        <v>117.2</v>
      </c>
      <c r="U84">
        <v>121.3</v>
      </c>
      <c r="V84">
        <v>119.2</v>
      </c>
      <c r="W84">
        <v>114.7</v>
      </c>
      <c r="X84">
        <v>118.4</v>
      </c>
      <c r="Y84">
        <v>114.6</v>
      </c>
      <c r="Z84">
        <v>108.4</v>
      </c>
      <c r="AA84">
        <v>115.6</v>
      </c>
      <c r="AB84">
        <v>121.7</v>
      </c>
      <c r="AC84">
        <v>111.8</v>
      </c>
      <c r="AD84">
        <v>114.2</v>
      </c>
      <c r="AE84">
        <v>119.7</v>
      </c>
    </row>
    <row r="85" spans="1:31" x14ac:dyDescent="0.25">
      <c r="A85" t="s">
        <v>34</v>
      </c>
      <c r="B85">
        <v>2015</v>
      </c>
      <c r="C85" t="s">
        <v>37</v>
      </c>
      <c r="D85">
        <v>123.5</v>
      </c>
      <c r="E85">
        <v>126.4</v>
      </c>
      <c r="F85">
        <v>114.4</v>
      </c>
      <c r="G85">
        <v>126.6</v>
      </c>
      <c r="H85">
        <v>109.2</v>
      </c>
      <c r="I85">
        <v>132.5</v>
      </c>
      <c r="J85">
        <v>128.6</v>
      </c>
      <c r="K85">
        <v>124.8</v>
      </c>
      <c r="L85">
        <v>95.7</v>
      </c>
      <c r="M85">
        <v>122.4</v>
      </c>
      <c r="N85">
        <f t="shared" si="1"/>
        <v>120.41000000000001</v>
      </c>
      <c r="O85">
        <v>118.5</v>
      </c>
      <c r="P85">
        <v>129.1</v>
      </c>
      <c r="Q85">
        <v>124</v>
      </c>
      <c r="R85">
        <v>126.9</v>
      </c>
      <c r="S85">
        <v>124.7</v>
      </c>
      <c r="T85">
        <v>120.8</v>
      </c>
      <c r="U85">
        <v>124.1</v>
      </c>
      <c r="V85">
        <v>119.2</v>
      </c>
      <c r="W85">
        <v>118.7</v>
      </c>
      <c r="X85">
        <v>119.7</v>
      </c>
      <c r="Y85">
        <v>117.1</v>
      </c>
      <c r="Z85">
        <v>110.1</v>
      </c>
      <c r="AA85">
        <v>115.9</v>
      </c>
      <c r="AB85">
        <v>121</v>
      </c>
      <c r="AC85">
        <v>111.7</v>
      </c>
      <c r="AD85">
        <v>115.1</v>
      </c>
      <c r="AE85">
        <v>120.7</v>
      </c>
    </row>
    <row r="86" spans="1:31" x14ac:dyDescent="0.25">
      <c r="A86" t="s">
        <v>30</v>
      </c>
      <c r="B86">
        <v>2015</v>
      </c>
      <c r="C86" t="s">
        <v>38</v>
      </c>
      <c r="D86">
        <v>123.5</v>
      </c>
      <c r="E86">
        <v>127.1</v>
      </c>
      <c r="F86">
        <v>117.3</v>
      </c>
      <c r="G86">
        <v>127.7</v>
      </c>
      <c r="H86">
        <v>112.5</v>
      </c>
      <c r="I86">
        <v>134.1</v>
      </c>
      <c r="J86">
        <v>128.5</v>
      </c>
      <c r="K86">
        <v>124.3</v>
      </c>
      <c r="L86">
        <v>97.6</v>
      </c>
      <c r="M86">
        <v>120.7</v>
      </c>
      <c r="N86">
        <f t="shared" si="1"/>
        <v>121.33</v>
      </c>
      <c r="O86">
        <v>120.2</v>
      </c>
      <c r="P86">
        <v>129.80000000000001</v>
      </c>
      <c r="Q86">
        <v>124.4</v>
      </c>
      <c r="R86">
        <v>126.7</v>
      </c>
      <c r="S86">
        <v>127.3</v>
      </c>
      <c r="T86">
        <v>124.1</v>
      </c>
      <c r="U86">
        <v>126.8</v>
      </c>
      <c r="V86">
        <v>139.25</v>
      </c>
      <c r="W86">
        <v>121.9</v>
      </c>
      <c r="X86">
        <v>121.5</v>
      </c>
      <c r="Y86">
        <v>119.4</v>
      </c>
      <c r="Z86">
        <v>113.3</v>
      </c>
      <c r="AA86">
        <v>116.7</v>
      </c>
      <c r="AB86">
        <v>120.5</v>
      </c>
      <c r="AC86">
        <v>112.3</v>
      </c>
      <c r="AD86">
        <v>116.9</v>
      </c>
      <c r="AE86">
        <v>122.4</v>
      </c>
    </row>
    <row r="87" spans="1:31" x14ac:dyDescent="0.25">
      <c r="A87" t="s">
        <v>33</v>
      </c>
      <c r="B87">
        <v>2015</v>
      </c>
      <c r="C87" t="s">
        <v>38</v>
      </c>
      <c r="D87">
        <v>123.8</v>
      </c>
      <c r="E87">
        <v>129.69999999999999</v>
      </c>
      <c r="F87">
        <v>111.3</v>
      </c>
      <c r="G87">
        <v>126.6</v>
      </c>
      <c r="H87">
        <v>105.2</v>
      </c>
      <c r="I87">
        <v>130.80000000000001</v>
      </c>
      <c r="J87">
        <v>135.6</v>
      </c>
      <c r="K87">
        <v>142.6</v>
      </c>
      <c r="L87">
        <v>90.8</v>
      </c>
      <c r="M87">
        <v>128.80000000000001</v>
      </c>
      <c r="N87">
        <f t="shared" si="1"/>
        <v>122.52000000000001</v>
      </c>
      <c r="O87">
        <v>117.7</v>
      </c>
      <c r="P87">
        <v>129.9</v>
      </c>
      <c r="Q87">
        <v>126.1</v>
      </c>
      <c r="R87">
        <v>131.30000000000001</v>
      </c>
      <c r="S87">
        <v>122.4</v>
      </c>
      <c r="T87">
        <v>117.4</v>
      </c>
      <c r="U87">
        <v>121.6</v>
      </c>
      <c r="V87">
        <v>119.6</v>
      </c>
      <c r="W87">
        <v>114.9</v>
      </c>
      <c r="X87">
        <v>118.7</v>
      </c>
      <c r="Y87">
        <v>114.9</v>
      </c>
      <c r="Z87">
        <v>110.8</v>
      </c>
      <c r="AA87">
        <v>116</v>
      </c>
      <c r="AB87">
        <v>122</v>
      </c>
      <c r="AC87">
        <v>112.4</v>
      </c>
      <c r="AD87">
        <v>115.2</v>
      </c>
      <c r="AE87">
        <v>120.7</v>
      </c>
    </row>
    <row r="88" spans="1:31" x14ac:dyDescent="0.25">
      <c r="A88" t="s">
        <v>34</v>
      </c>
      <c r="B88">
        <v>2015</v>
      </c>
      <c r="C88" t="s">
        <v>38</v>
      </c>
      <c r="D88">
        <v>123.6</v>
      </c>
      <c r="E88">
        <v>128</v>
      </c>
      <c r="F88">
        <v>115</v>
      </c>
      <c r="G88">
        <v>127.3</v>
      </c>
      <c r="H88">
        <v>109.8</v>
      </c>
      <c r="I88">
        <v>132.6</v>
      </c>
      <c r="J88">
        <v>130.9</v>
      </c>
      <c r="K88">
        <v>130.5</v>
      </c>
      <c r="L88">
        <v>95.3</v>
      </c>
      <c r="M88">
        <v>123.4</v>
      </c>
      <c r="N88">
        <f t="shared" si="1"/>
        <v>121.64000000000001</v>
      </c>
      <c r="O88">
        <v>119.2</v>
      </c>
      <c r="P88">
        <v>129.80000000000001</v>
      </c>
      <c r="Q88">
        <v>125</v>
      </c>
      <c r="R88">
        <v>127.9</v>
      </c>
      <c r="S88">
        <v>125.4</v>
      </c>
      <c r="T88">
        <v>121.3</v>
      </c>
      <c r="U88">
        <v>124.7</v>
      </c>
      <c r="V88">
        <v>119.6</v>
      </c>
      <c r="W88">
        <v>119.2</v>
      </c>
      <c r="X88">
        <v>120.2</v>
      </c>
      <c r="Y88">
        <v>117.7</v>
      </c>
      <c r="Z88">
        <v>112</v>
      </c>
      <c r="AA88">
        <v>116.3</v>
      </c>
      <c r="AB88">
        <v>121.4</v>
      </c>
      <c r="AC88">
        <v>112.3</v>
      </c>
      <c r="AD88">
        <v>116.1</v>
      </c>
      <c r="AE88">
        <v>121.6</v>
      </c>
    </row>
    <row r="89" spans="1:31" x14ac:dyDescent="0.25">
      <c r="A89" t="s">
        <v>30</v>
      </c>
      <c r="B89">
        <v>2015</v>
      </c>
      <c r="C89" t="s">
        <v>39</v>
      </c>
      <c r="D89">
        <v>124.1</v>
      </c>
      <c r="E89">
        <v>130.4</v>
      </c>
      <c r="F89">
        <v>122.1</v>
      </c>
      <c r="G89">
        <v>128.69999999999999</v>
      </c>
      <c r="H89">
        <v>114.1</v>
      </c>
      <c r="I89">
        <v>133.19999999999999</v>
      </c>
      <c r="J89">
        <v>135.19999999999999</v>
      </c>
      <c r="K89">
        <v>131.9</v>
      </c>
      <c r="L89">
        <v>96.3</v>
      </c>
      <c r="M89">
        <v>123</v>
      </c>
      <c r="N89">
        <f t="shared" si="1"/>
        <v>123.9</v>
      </c>
      <c r="O89">
        <v>121.1</v>
      </c>
      <c r="P89">
        <v>131.19999999999999</v>
      </c>
      <c r="Q89">
        <v>126.6</v>
      </c>
      <c r="R89">
        <v>128.19999999999999</v>
      </c>
      <c r="S89">
        <v>128.4</v>
      </c>
      <c r="T89">
        <v>125.1</v>
      </c>
      <c r="U89">
        <v>128</v>
      </c>
      <c r="V89">
        <v>139.25</v>
      </c>
      <c r="W89">
        <v>122.6</v>
      </c>
      <c r="X89">
        <v>122.8</v>
      </c>
      <c r="Y89">
        <v>120.4</v>
      </c>
      <c r="Z89">
        <v>114.2</v>
      </c>
      <c r="AA89">
        <v>117.9</v>
      </c>
      <c r="AB89">
        <v>122</v>
      </c>
      <c r="AC89">
        <v>113</v>
      </c>
      <c r="AD89">
        <v>117.9</v>
      </c>
      <c r="AE89">
        <v>124.1</v>
      </c>
    </row>
    <row r="90" spans="1:31" x14ac:dyDescent="0.25">
      <c r="A90" t="s">
        <v>33</v>
      </c>
      <c r="B90">
        <v>2015</v>
      </c>
      <c r="C90" t="s">
        <v>39</v>
      </c>
      <c r="D90">
        <v>123.6</v>
      </c>
      <c r="E90">
        <v>134.4</v>
      </c>
      <c r="F90">
        <v>120.9</v>
      </c>
      <c r="G90">
        <v>127.3</v>
      </c>
      <c r="H90">
        <v>106</v>
      </c>
      <c r="I90">
        <v>132.30000000000001</v>
      </c>
      <c r="J90">
        <v>146.69999999999999</v>
      </c>
      <c r="K90">
        <v>148.1</v>
      </c>
      <c r="L90">
        <v>89.8</v>
      </c>
      <c r="M90">
        <v>130.5</v>
      </c>
      <c r="N90">
        <f t="shared" si="1"/>
        <v>125.96</v>
      </c>
      <c r="O90">
        <v>118</v>
      </c>
      <c r="P90">
        <v>130.5</v>
      </c>
      <c r="Q90">
        <v>128.5</v>
      </c>
      <c r="R90">
        <v>132.1</v>
      </c>
      <c r="S90">
        <v>123.2</v>
      </c>
      <c r="T90">
        <v>117.6</v>
      </c>
      <c r="U90">
        <v>122.3</v>
      </c>
      <c r="V90">
        <v>119</v>
      </c>
      <c r="W90">
        <v>115.1</v>
      </c>
      <c r="X90">
        <v>119.2</v>
      </c>
      <c r="Y90">
        <v>115.4</v>
      </c>
      <c r="Z90">
        <v>111.7</v>
      </c>
      <c r="AA90">
        <v>116.2</v>
      </c>
      <c r="AB90">
        <v>123.8</v>
      </c>
      <c r="AC90">
        <v>112.5</v>
      </c>
      <c r="AD90">
        <v>116</v>
      </c>
      <c r="AE90">
        <v>121.7</v>
      </c>
    </row>
    <row r="91" spans="1:31" x14ac:dyDescent="0.25">
      <c r="A91" t="s">
        <v>34</v>
      </c>
      <c r="B91">
        <v>2015</v>
      </c>
      <c r="C91" t="s">
        <v>39</v>
      </c>
      <c r="D91">
        <v>123.9</v>
      </c>
      <c r="E91">
        <v>131.80000000000001</v>
      </c>
      <c r="F91">
        <v>121.6</v>
      </c>
      <c r="G91">
        <v>128.19999999999999</v>
      </c>
      <c r="H91">
        <v>111.1</v>
      </c>
      <c r="I91">
        <v>132.80000000000001</v>
      </c>
      <c r="J91">
        <v>139.1</v>
      </c>
      <c r="K91">
        <v>137.4</v>
      </c>
      <c r="L91">
        <v>94.1</v>
      </c>
      <c r="M91">
        <v>125.5</v>
      </c>
      <c r="N91">
        <f t="shared" si="1"/>
        <v>124.55</v>
      </c>
      <c r="O91">
        <v>119.8</v>
      </c>
      <c r="P91">
        <v>130.9</v>
      </c>
      <c r="Q91">
        <v>127.3</v>
      </c>
      <c r="R91">
        <v>129.19999999999999</v>
      </c>
      <c r="S91">
        <v>126.4</v>
      </c>
      <c r="T91">
        <v>122</v>
      </c>
      <c r="U91">
        <v>125.7</v>
      </c>
      <c r="V91">
        <v>119</v>
      </c>
      <c r="W91">
        <v>119.8</v>
      </c>
      <c r="X91">
        <v>121.1</v>
      </c>
      <c r="Y91">
        <v>118.5</v>
      </c>
      <c r="Z91">
        <v>112.9</v>
      </c>
      <c r="AA91">
        <v>116.9</v>
      </c>
      <c r="AB91">
        <v>123.1</v>
      </c>
      <c r="AC91">
        <v>112.8</v>
      </c>
      <c r="AD91">
        <v>117</v>
      </c>
      <c r="AE91">
        <v>123</v>
      </c>
    </row>
    <row r="92" spans="1:31"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f t="shared" si="1"/>
        <v>124.50999999999999</v>
      </c>
      <c r="O92">
        <v>121</v>
      </c>
      <c r="P92">
        <v>131.69999999999999</v>
      </c>
      <c r="Q92">
        <v>127.5</v>
      </c>
      <c r="R92">
        <v>129.4</v>
      </c>
      <c r="S92">
        <v>128.80000000000001</v>
      </c>
      <c r="T92">
        <v>125.5</v>
      </c>
      <c r="U92">
        <v>128.30000000000001</v>
      </c>
      <c r="V92">
        <v>139.25</v>
      </c>
      <c r="W92">
        <v>123</v>
      </c>
      <c r="X92">
        <v>123</v>
      </c>
      <c r="Y92">
        <v>120.8</v>
      </c>
      <c r="Z92">
        <v>114.1</v>
      </c>
      <c r="AA92">
        <v>118</v>
      </c>
      <c r="AB92">
        <v>122.9</v>
      </c>
      <c r="AC92">
        <v>112.7</v>
      </c>
      <c r="AD92">
        <v>118.1</v>
      </c>
      <c r="AE92">
        <v>124.7</v>
      </c>
    </row>
    <row r="93" spans="1:31" x14ac:dyDescent="0.25">
      <c r="A93" t="s">
        <v>33</v>
      </c>
      <c r="B93">
        <v>2015</v>
      </c>
      <c r="C93" t="s">
        <v>40</v>
      </c>
      <c r="D93">
        <v>123.2</v>
      </c>
      <c r="E93">
        <v>134.30000000000001</v>
      </c>
      <c r="F93">
        <v>119.5</v>
      </c>
      <c r="G93">
        <v>127.7</v>
      </c>
      <c r="H93">
        <v>106.3</v>
      </c>
      <c r="I93">
        <v>132.80000000000001</v>
      </c>
      <c r="J93">
        <v>153.5</v>
      </c>
      <c r="K93">
        <v>149.5</v>
      </c>
      <c r="L93">
        <v>85.7</v>
      </c>
      <c r="M93">
        <v>131.5</v>
      </c>
      <c r="N93">
        <f t="shared" si="1"/>
        <v>126.4</v>
      </c>
      <c r="O93">
        <v>118.3</v>
      </c>
      <c r="P93">
        <v>131.1</v>
      </c>
      <c r="Q93">
        <v>129.5</v>
      </c>
      <c r="R93">
        <v>133.1</v>
      </c>
      <c r="S93">
        <v>123.5</v>
      </c>
      <c r="T93">
        <v>117.9</v>
      </c>
      <c r="U93">
        <v>122.7</v>
      </c>
      <c r="V93">
        <v>119.9</v>
      </c>
      <c r="W93">
        <v>115.3</v>
      </c>
      <c r="X93">
        <v>119.5</v>
      </c>
      <c r="Y93">
        <v>116</v>
      </c>
      <c r="Z93">
        <v>111.5</v>
      </c>
      <c r="AA93">
        <v>116.6</v>
      </c>
      <c r="AB93">
        <v>125.4</v>
      </c>
      <c r="AC93">
        <v>111.7</v>
      </c>
      <c r="AD93">
        <v>116.3</v>
      </c>
      <c r="AE93">
        <v>122.4</v>
      </c>
    </row>
    <row r="94" spans="1:31" x14ac:dyDescent="0.25">
      <c r="A94" t="s">
        <v>34</v>
      </c>
      <c r="B94">
        <v>2015</v>
      </c>
      <c r="C94" t="s">
        <v>40</v>
      </c>
      <c r="D94">
        <v>123.7</v>
      </c>
      <c r="E94">
        <v>132.5</v>
      </c>
      <c r="F94">
        <v>121</v>
      </c>
      <c r="G94">
        <v>128.30000000000001</v>
      </c>
      <c r="H94">
        <v>110.9</v>
      </c>
      <c r="I94">
        <v>133.1</v>
      </c>
      <c r="J94">
        <v>145.1</v>
      </c>
      <c r="K94">
        <v>139.1</v>
      </c>
      <c r="L94">
        <v>91.3</v>
      </c>
      <c r="M94">
        <v>126.1</v>
      </c>
      <c r="N94">
        <f t="shared" si="1"/>
        <v>125.10999999999999</v>
      </c>
      <c r="O94">
        <v>119.9</v>
      </c>
      <c r="P94">
        <v>131.4</v>
      </c>
      <c r="Q94">
        <v>128.19999999999999</v>
      </c>
      <c r="R94">
        <v>130.4</v>
      </c>
      <c r="S94">
        <v>126.7</v>
      </c>
      <c r="T94">
        <v>122.3</v>
      </c>
      <c r="U94">
        <v>126.1</v>
      </c>
      <c r="V94">
        <v>119.9</v>
      </c>
      <c r="W94">
        <v>120.1</v>
      </c>
      <c r="X94">
        <v>121.3</v>
      </c>
      <c r="Y94">
        <v>119</v>
      </c>
      <c r="Z94">
        <v>112.7</v>
      </c>
      <c r="AA94">
        <v>117.2</v>
      </c>
      <c r="AB94">
        <v>124.4</v>
      </c>
      <c r="AC94">
        <v>112.3</v>
      </c>
      <c r="AD94">
        <v>117.2</v>
      </c>
      <c r="AE94">
        <v>123.6</v>
      </c>
    </row>
    <row r="95" spans="1:31" x14ac:dyDescent="0.25">
      <c r="A95" t="s">
        <v>30</v>
      </c>
      <c r="B95">
        <v>2015</v>
      </c>
      <c r="C95" t="s">
        <v>41</v>
      </c>
      <c r="D95">
        <v>124.7</v>
      </c>
      <c r="E95">
        <v>131.30000000000001</v>
      </c>
      <c r="F95">
        <v>121.3</v>
      </c>
      <c r="G95">
        <v>128.80000000000001</v>
      </c>
      <c r="H95">
        <v>114</v>
      </c>
      <c r="I95">
        <v>134.19999999999999</v>
      </c>
      <c r="J95">
        <v>153.6</v>
      </c>
      <c r="K95">
        <v>137.9</v>
      </c>
      <c r="L95">
        <v>93.1</v>
      </c>
      <c r="M95">
        <v>123.9</v>
      </c>
      <c r="N95">
        <f t="shared" si="1"/>
        <v>126.28</v>
      </c>
      <c r="O95">
        <v>121.5</v>
      </c>
      <c r="P95">
        <v>132.5</v>
      </c>
      <c r="Q95">
        <v>129.80000000000001</v>
      </c>
      <c r="R95">
        <v>130.1</v>
      </c>
      <c r="S95">
        <v>129.5</v>
      </c>
      <c r="T95">
        <v>126.3</v>
      </c>
      <c r="U95">
        <v>129</v>
      </c>
      <c r="V95">
        <v>139.25</v>
      </c>
      <c r="W95">
        <v>123.8</v>
      </c>
      <c r="X95">
        <v>123.7</v>
      </c>
      <c r="Y95">
        <v>121.1</v>
      </c>
      <c r="Z95">
        <v>113.6</v>
      </c>
      <c r="AA95">
        <v>118.5</v>
      </c>
      <c r="AB95">
        <v>123.6</v>
      </c>
      <c r="AC95">
        <v>112.5</v>
      </c>
      <c r="AD95">
        <v>118.2</v>
      </c>
      <c r="AE95">
        <v>126.1</v>
      </c>
    </row>
    <row r="96" spans="1:31" x14ac:dyDescent="0.25">
      <c r="A96" t="s">
        <v>33</v>
      </c>
      <c r="B96">
        <v>2015</v>
      </c>
      <c r="C96" t="s">
        <v>41</v>
      </c>
      <c r="D96">
        <v>123.1</v>
      </c>
      <c r="E96">
        <v>131.69999999999999</v>
      </c>
      <c r="F96">
        <v>118.1</v>
      </c>
      <c r="G96">
        <v>128</v>
      </c>
      <c r="H96">
        <v>106.8</v>
      </c>
      <c r="I96">
        <v>130.1</v>
      </c>
      <c r="J96">
        <v>165.5</v>
      </c>
      <c r="K96">
        <v>156</v>
      </c>
      <c r="L96">
        <v>85.3</v>
      </c>
      <c r="M96">
        <v>132.69999999999999</v>
      </c>
      <c r="N96">
        <f t="shared" si="1"/>
        <v>127.72999999999999</v>
      </c>
      <c r="O96">
        <v>118.8</v>
      </c>
      <c r="P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row>
    <row r="97" spans="1:31" x14ac:dyDescent="0.25">
      <c r="A97" t="s">
        <v>34</v>
      </c>
      <c r="B97">
        <v>2015</v>
      </c>
      <c r="C97" t="s">
        <v>41</v>
      </c>
      <c r="D97">
        <v>124.2</v>
      </c>
      <c r="E97">
        <v>131.4</v>
      </c>
      <c r="F97">
        <v>120.1</v>
      </c>
      <c r="G97">
        <v>128.5</v>
      </c>
      <c r="H97">
        <v>111.4</v>
      </c>
      <c r="I97">
        <v>132.30000000000001</v>
      </c>
      <c r="J97">
        <v>157.6</v>
      </c>
      <c r="K97">
        <v>144</v>
      </c>
      <c r="L97">
        <v>90.5</v>
      </c>
      <c r="M97">
        <v>126.8</v>
      </c>
      <c r="N97">
        <f t="shared" si="1"/>
        <v>126.67999999999999</v>
      </c>
      <c r="O97">
        <v>120.4</v>
      </c>
      <c r="P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row>
    <row r="98" spans="1:31" x14ac:dyDescent="0.25">
      <c r="A98" t="s">
        <v>30</v>
      </c>
      <c r="B98">
        <v>2015</v>
      </c>
      <c r="C98" t="s">
        <v>42</v>
      </c>
      <c r="D98">
        <v>125.1</v>
      </c>
      <c r="E98">
        <v>131.1</v>
      </c>
      <c r="F98">
        <v>120.7</v>
      </c>
      <c r="G98">
        <v>129.19999999999999</v>
      </c>
      <c r="H98">
        <v>114.7</v>
      </c>
      <c r="I98">
        <v>132.30000000000001</v>
      </c>
      <c r="J98">
        <v>158.9</v>
      </c>
      <c r="K98">
        <v>142.1</v>
      </c>
      <c r="L98">
        <v>92.5</v>
      </c>
      <c r="M98">
        <v>125.4</v>
      </c>
      <c r="N98">
        <f t="shared" si="1"/>
        <v>127.2</v>
      </c>
      <c r="O98">
        <v>121.9</v>
      </c>
      <c r="P98">
        <v>132.69999999999999</v>
      </c>
      <c r="Q98">
        <v>131</v>
      </c>
      <c r="R98">
        <v>131</v>
      </c>
      <c r="S98">
        <v>130.4</v>
      </c>
      <c r="T98">
        <v>126.8</v>
      </c>
      <c r="U98">
        <v>129.9</v>
      </c>
      <c r="V98">
        <v>139.25</v>
      </c>
      <c r="W98">
        <v>123.7</v>
      </c>
      <c r="X98">
        <v>124.5</v>
      </c>
      <c r="Y98">
        <v>121.4</v>
      </c>
      <c r="Z98">
        <v>113.8</v>
      </c>
      <c r="AA98">
        <v>119.6</v>
      </c>
      <c r="AB98">
        <v>124.5</v>
      </c>
      <c r="AC98">
        <v>113.7</v>
      </c>
      <c r="AD98">
        <v>118.8</v>
      </c>
      <c r="AE98">
        <v>127</v>
      </c>
    </row>
    <row r="99" spans="1:31" x14ac:dyDescent="0.25">
      <c r="A99" t="s">
        <v>33</v>
      </c>
      <c r="B99">
        <v>2015</v>
      </c>
      <c r="C99" t="s">
        <v>42</v>
      </c>
      <c r="D99">
        <v>123.4</v>
      </c>
      <c r="E99">
        <v>129</v>
      </c>
      <c r="F99">
        <v>115.6</v>
      </c>
      <c r="G99">
        <v>128.30000000000001</v>
      </c>
      <c r="H99">
        <v>107</v>
      </c>
      <c r="I99">
        <v>124</v>
      </c>
      <c r="J99">
        <v>168.5</v>
      </c>
      <c r="K99">
        <v>165.4</v>
      </c>
      <c r="L99">
        <v>86.3</v>
      </c>
      <c r="M99">
        <v>134.4</v>
      </c>
      <c r="N99">
        <f t="shared" si="1"/>
        <v>128.19</v>
      </c>
      <c r="O99">
        <v>119.1</v>
      </c>
      <c r="P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row>
    <row r="100" spans="1:31" x14ac:dyDescent="0.25">
      <c r="A100" t="s">
        <v>34</v>
      </c>
      <c r="B100">
        <v>2015</v>
      </c>
      <c r="C100" t="s">
        <v>42</v>
      </c>
      <c r="D100">
        <v>124.6</v>
      </c>
      <c r="E100">
        <v>130.4</v>
      </c>
      <c r="F100">
        <v>118.7</v>
      </c>
      <c r="G100">
        <v>128.9</v>
      </c>
      <c r="H100">
        <v>111.9</v>
      </c>
      <c r="I100">
        <v>128.4</v>
      </c>
      <c r="J100">
        <v>162.19999999999999</v>
      </c>
      <c r="K100">
        <v>150</v>
      </c>
      <c r="L100">
        <v>90.4</v>
      </c>
      <c r="M100">
        <v>128.4</v>
      </c>
      <c r="N100">
        <f t="shared" si="1"/>
        <v>127.39000000000001</v>
      </c>
      <c r="O100">
        <v>120.7</v>
      </c>
      <c r="P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row>
    <row r="101" spans="1:31"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f t="shared" si="1"/>
        <v>128.74</v>
      </c>
      <c r="O101">
        <v>122.3</v>
      </c>
      <c r="P101">
        <v>133.1</v>
      </c>
      <c r="Q101">
        <v>131.80000000000001</v>
      </c>
      <c r="R101">
        <v>131.5</v>
      </c>
      <c r="S101">
        <v>131.1</v>
      </c>
      <c r="T101">
        <v>127.3</v>
      </c>
      <c r="U101">
        <v>130.6</v>
      </c>
      <c r="V101">
        <v>139.25</v>
      </c>
      <c r="W101">
        <v>124.4</v>
      </c>
      <c r="X101">
        <v>125.1</v>
      </c>
      <c r="Y101">
        <v>122</v>
      </c>
      <c r="Z101">
        <v>113.8</v>
      </c>
      <c r="AA101">
        <v>120.1</v>
      </c>
      <c r="AB101">
        <v>125.1</v>
      </c>
      <c r="AC101">
        <v>114.2</v>
      </c>
      <c r="AD101">
        <v>119.2</v>
      </c>
      <c r="AE101">
        <v>127.7</v>
      </c>
    </row>
    <row r="102" spans="1:31" x14ac:dyDescent="0.25">
      <c r="A102" t="s">
        <v>33</v>
      </c>
      <c r="B102">
        <v>2015</v>
      </c>
      <c r="C102" t="s">
        <v>43</v>
      </c>
      <c r="D102">
        <v>123.6</v>
      </c>
      <c r="E102">
        <v>128.6</v>
      </c>
      <c r="F102">
        <v>115.9</v>
      </c>
      <c r="G102">
        <v>128.5</v>
      </c>
      <c r="H102">
        <v>109</v>
      </c>
      <c r="I102">
        <v>124.1</v>
      </c>
      <c r="J102">
        <v>165.8</v>
      </c>
      <c r="K102">
        <v>187.2</v>
      </c>
      <c r="L102">
        <v>89.4</v>
      </c>
      <c r="M102">
        <v>135.80000000000001</v>
      </c>
      <c r="N102">
        <f t="shared" si="1"/>
        <v>130.79000000000002</v>
      </c>
      <c r="O102">
        <v>119.4</v>
      </c>
      <c r="P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row>
    <row r="103" spans="1:31" x14ac:dyDescent="0.25">
      <c r="A103" t="s">
        <v>34</v>
      </c>
      <c r="B103">
        <v>2015</v>
      </c>
      <c r="C103" t="s">
        <v>43</v>
      </c>
      <c r="D103">
        <v>125</v>
      </c>
      <c r="E103">
        <v>129.80000000000001</v>
      </c>
      <c r="F103">
        <v>118.9</v>
      </c>
      <c r="G103">
        <v>129.1</v>
      </c>
      <c r="H103">
        <v>113.3</v>
      </c>
      <c r="I103">
        <v>129</v>
      </c>
      <c r="J103">
        <v>160.4</v>
      </c>
      <c r="K103">
        <v>165.3</v>
      </c>
      <c r="L103">
        <v>92.3</v>
      </c>
      <c r="M103">
        <v>129.69999999999999</v>
      </c>
      <c r="N103">
        <f t="shared" si="1"/>
        <v>129.28</v>
      </c>
      <c r="O103">
        <v>121.1</v>
      </c>
      <c r="P103">
        <v>133</v>
      </c>
      <c r="Q103">
        <v>132.1</v>
      </c>
      <c r="R103">
        <v>132.5</v>
      </c>
      <c r="S103">
        <v>128.5</v>
      </c>
      <c r="T103">
        <v>123.8</v>
      </c>
      <c r="U103">
        <v>127.8</v>
      </c>
      <c r="V103">
        <v>122.4</v>
      </c>
      <c r="W103">
        <v>120.8</v>
      </c>
      <c r="X103">
        <v>123</v>
      </c>
      <c r="Y103">
        <v>120.4</v>
      </c>
      <c r="Z103">
        <v>111.4</v>
      </c>
      <c r="AA103">
        <v>118.7</v>
      </c>
      <c r="AB103">
        <v>125.9</v>
      </c>
      <c r="AC103">
        <v>113.9</v>
      </c>
      <c r="AD103">
        <v>117.9</v>
      </c>
      <c r="AE103">
        <v>126.1</v>
      </c>
    </row>
    <row r="104" spans="1:31"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f t="shared" si="1"/>
        <v>129.66</v>
      </c>
      <c r="O104">
        <v>123.1</v>
      </c>
      <c r="P104">
        <v>134.19999999999999</v>
      </c>
      <c r="Q104">
        <v>132.4</v>
      </c>
      <c r="R104">
        <v>132.19999999999999</v>
      </c>
      <c r="S104">
        <v>132.1</v>
      </c>
      <c r="T104">
        <v>128.19999999999999</v>
      </c>
      <c r="U104">
        <v>131.5</v>
      </c>
      <c r="V104">
        <v>139.25</v>
      </c>
      <c r="W104">
        <v>125.6</v>
      </c>
      <c r="X104">
        <v>125.6</v>
      </c>
      <c r="Y104">
        <v>122.6</v>
      </c>
      <c r="Z104">
        <v>114</v>
      </c>
      <c r="AA104">
        <v>120.9</v>
      </c>
      <c r="AB104">
        <v>125.8</v>
      </c>
      <c r="AC104">
        <v>114.2</v>
      </c>
      <c r="AD104">
        <v>119.6</v>
      </c>
      <c r="AE104">
        <v>128.30000000000001</v>
      </c>
    </row>
    <row r="105" spans="1:31" x14ac:dyDescent="0.25">
      <c r="A105" t="s">
        <v>33</v>
      </c>
      <c r="B105">
        <v>2015</v>
      </c>
      <c r="C105" t="s">
        <v>45</v>
      </c>
      <c r="D105">
        <v>124</v>
      </c>
      <c r="E105">
        <v>129.80000000000001</v>
      </c>
      <c r="F105">
        <v>121.5</v>
      </c>
      <c r="G105">
        <v>128.6</v>
      </c>
      <c r="H105">
        <v>110</v>
      </c>
      <c r="I105">
        <v>123.7</v>
      </c>
      <c r="J105">
        <v>164.6</v>
      </c>
      <c r="K105">
        <v>191.6</v>
      </c>
      <c r="L105">
        <v>90.8</v>
      </c>
      <c r="M105">
        <v>137.1</v>
      </c>
      <c r="N105">
        <f t="shared" si="1"/>
        <v>132.16999999999999</v>
      </c>
      <c r="O105">
        <v>119.8</v>
      </c>
      <c r="P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row>
    <row r="106" spans="1:31"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f t="shared" si="1"/>
        <v>130.36999999999998</v>
      </c>
      <c r="O106">
        <v>121.7</v>
      </c>
      <c r="P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row>
    <row r="107" spans="1:31" x14ac:dyDescent="0.25">
      <c r="A107" t="s">
        <v>30</v>
      </c>
      <c r="B107">
        <v>2015</v>
      </c>
      <c r="C107" t="s">
        <v>46</v>
      </c>
      <c r="D107">
        <v>126.3</v>
      </c>
      <c r="E107">
        <v>131.30000000000001</v>
      </c>
      <c r="F107">
        <v>123.3</v>
      </c>
      <c r="G107">
        <v>129.80000000000001</v>
      </c>
      <c r="H107">
        <v>118.3</v>
      </c>
      <c r="I107">
        <v>131.6</v>
      </c>
      <c r="J107">
        <v>145.5</v>
      </c>
      <c r="K107">
        <v>162.1</v>
      </c>
      <c r="L107">
        <v>95.4</v>
      </c>
      <c r="M107">
        <v>128.9</v>
      </c>
      <c r="N107">
        <f t="shared" si="1"/>
        <v>129.25000000000003</v>
      </c>
      <c r="O107">
        <v>123.3</v>
      </c>
      <c r="P107">
        <v>135.1</v>
      </c>
      <c r="Q107">
        <v>131.4</v>
      </c>
      <c r="R107">
        <v>133.1</v>
      </c>
      <c r="S107">
        <v>132.5</v>
      </c>
      <c r="T107">
        <v>128.5</v>
      </c>
      <c r="U107">
        <v>131.9</v>
      </c>
      <c r="V107">
        <v>139.25</v>
      </c>
      <c r="W107">
        <v>125.7</v>
      </c>
      <c r="X107">
        <v>126</v>
      </c>
      <c r="Y107">
        <v>123.1</v>
      </c>
      <c r="Z107">
        <v>114</v>
      </c>
      <c r="AA107">
        <v>121.6</v>
      </c>
      <c r="AB107">
        <v>125.6</v>
      </c>
      <c r="AC107">
        <v>114.1</v>
      </c>
      <c r="AD107">
        <v>119.8</v>
      </c>
      <c r="AE107">
        <v>127.9</v>
      </c>
    </row>
    <row r="108" spans="1:31" x14ac:dyDescent="0.25">
      <c r="A108" t="s">
        <v>33</v>
      </c>
      <c r="B108">
        <v>2015</v>
      </c>
      <c r="C108" t="s">
        <v>46</v>
      </c>
      <c r="D108">
        <v>124.3</v>
      </c>
      <c r="E108">
        <v>131.69999999999999</v>
      </c>
      <c r="F108">
        <v>127.1</v>
      </c>
      <c r="G108">
        <v>128.6</v>
      </c>
      <c r="H108">
        <v>110</v>
      </c>
      <c r="I108">
        <v>120.8</v>
      </c>
      <c r="J108">
        <v>149</v>
      </c>
      <c r="K108">
        <v>190.1</v>
      </c>
      <c r="L108">
        <v>92.7</v>
      </c>
      <c r="M108">
        <v>138.6</v>
      </c>
      <c r="N108">
        <f t="shared" si="1"/>
        <v>131.29</v>
      </c>
      <c r="O108">
        <v>120.2</v>
      </c>
      <c r="P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row>
    <row r="109" spans="1:31" x14ac:dyDescent="0.25">
      <c r="A109" t="s">
        <v>34</v>
      </c>
      <c r="B109">
        <v>2015</v>
      </c>
      <c r="C109" t="s">
        <v>46</v>
      </c>
      <c r="D109">
        <v>125.7</v>
      </c>
      <c r="E109">
        <v>131.4</v>
      </c>
      <c r="F109">
        <v>124.8</v>
      </c>
      <c r="G109">
        <v>129.4</v>
      </c>
      <c r="H109">
        <v>115.3</v>
      </c>
      <c r="I109">
        <v>126.6</v>
      </c>
      <c r="J109">
        <v>146.69999999999999</v>
      </c>
      <c r="K109">
        <v>171.5</v>
      </c>
      <c r="L109">
        <v>94.5</v>
      </c>
      <c r="M109">
        <v>132.1</v>
      </c>
      <c r="N109">
        <f t="shared" si="1"/>
        <v>129.80000000000001</v>
      </c>
      <c r="O109">
        <v>122</v>
      </c>
      <c r="P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row>
    <row r="110" spans="1:31"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f t="shared" si="1"/>
        <v>129.85</v>
      </c>
      <c r="O110">
        <v>124.3</v>
      </c>
      <c r="P110">
        <v>135.9</v>
      </c>
      <c r="Q110">
        <v>131.4</v>
      </c>
      <c r="R110">
        <v>133.6</v>
      </c>
      <c r="S110">
        <v>133.19999999999999</v>
      </c>
      <c r="T110">
        <v>128.9</v>
      </c>
      <c r="U110">
        <v>132.6</v>
      </c>
      <c r="V110">
        <v>139.25</v>
      </c>
      <c r="W110">
        <v>126.2</v>
      </c>
      <c r="X110">
        <v>126.6</v>
      </c>
      <c r="Y110">
        <v>123.7</v>
      </c>
      <c r="Z110">
        <v>113.6</v>
      </c>
      <c r="AA110">
        <v>121.4</v>
      </c>
      <c r="AB110">
        <v>126.2</v>
      </c>
      <c r="AC110">
        <v>114.9</v>
      </c>
      <c r="AD110">
        <v>120.1</v>
      </c>
      <c r="AE110">
        <v>128.1</v>
      </c>
    </row>
    <row r="111" spans="1:31" x14ac:dyDescent="0.25">
      <c r="A111" t="s">
        <v>33</v>
      </c>
      <c r="B111">
        <v>2016</v>
      </c>
      <c r="C111" t="s">
        <v>31</v>
      </c>
      <c r="D111">
        <v>124.7</v>
      </c>
      <c r="E111">
        <v>135.9</v>
      </c>
      <c r="F111">
        <v>132</v>
      </c>
      <c r="G111">
        <v>129.19999999999999</v>
      </c>
      <c r="H111">
        <v>109.7</v>
      </c>
      <c r="I111">
        <v>119</v>
      </c>
      <c r="J111">
        <v>144.1</v>
      </c>
      <c r="K111">
        <v>184.2</v>
      </c>
      <c r="L111">
        <v>96.7</v>
      </c>
      <c r="M111">
        <v>139.5</v>
      </c>
      <c r="N111">
        <f t="shared" si="1"/>
        <v>131.5</v>
      </c>
      <c r="O111">
        <v>120.5</v>
      </c>
      <c r="P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row>
    <row r="112" spans="1:31" x14ac:dyDescent="0.25">
      <c r="A112" t="s">
        <v>34</v>
      </c>
      <c r="B112">
        <v>2016</v>
      </c>
      <c r="C112" t="s">
        <v>31</v>
      </c>
      <c r="D112">
        <v>126.1</v>
      </c>
      <c r="E112">
        <v>134.1</v>
      </c>
      <c r="F112">
        <v>128.6</v>
      </c>
      <c r="G112">
        <v>129.9</v>
      </c>
      <c r="H112">
        <v>115.5</v>
      </c>
      <c r="I112">
        <v>125.7</v>
      </c>
      <c r="J112">
        <v>141.5</v>
      </c>
      <c r="K112">
        <v>170.7</v>
      </c>
      <c r="L112">
        <v>97.4</v>
      </c>
      <c r="M112">
        <v>132.9</v>
      </c>
      <c r="N112">
        <f t="shared" si="1"/>
        <v>130.24</v>
      </c>
      <c r="O112">
        <v>122.7</v>
      </c>
      <c r="P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row>
    <row r="113" spans="1:31"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f t="shared" si="1"/>
        <v>129.10999999999999</v>
      </c>
      <c r="O113">
        <v>124.8</v>
      </c>
      <c r="P113">
        <v>136.4</v>
      </c>
      <c r="Q113">
        <v>130.30000000000001</v>
      </c>
      <c r="R113">
        <v>134.4</v>
      </c>
      <c r="S113">
        <v>133.9</v>
      </c>
      <c r="T113">
        <v>129.80000000000001</v>
      </c>
      <c r="U113">
        <v>133.4</v>
      </c>
      <c r="V113">
        <v>139.25</v>
      </c>
      <c r="W113">
        <v>127.5</v>
      </c>
      <c r="X113">
        <v>127.1</v>
      </c>
      <c r="Y113">
        <v>124.3</v>
      </c>
      <c r="Z113">
        <v>113.9</v>
      </c>
      <c r="AA113">
        <v>122.3</v>
      </c>
      <c r="AB113">
        <v>127.1</v>
      </c>
      <c r="AC113">
        <v>116.8</v>
      </c>
      <c r="AD113">
        <v>120.9</v>
      </c>
      <c r="AE113">
        <v>127.9</v>
      </c>
    </row>
    <row r="114" spans="1:31"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f t="shared" si="1"/>
        <v>129.12</v>
      </c>
      <c r="O114">
        <v>120.6</v>
      </c>
      <c r="P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row>
    <row r="115" spans="1:31"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f t="shared" si="1"/>
        <v>128.94</v>
      </c>
      <c r="O115">
        <v>123</v>
      </c>
      <c r="P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row>
    <row r="116" spans="1:31"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f t="shared" si="1"/>
        <v>129.04000000000002</v>
      </c>
      <c r="O116">
        <v>124.9</v>
      </c>
      <c r="P116">
        <v>137</v>
      </c>
      <c r="Q116">
        <v>130.4</v>
      </c>
      <c r="R116">
        <v>135</v>
      </c>
      <c r="S116">
        <v>134.4</v>
      </c>
      <c r="T116">
        <v>130.19999999999999</v>
      </c>
      <c r="U116">
        <v>133.80000000000001</v>
      </c>
      <c r="V116">
        <v>139.25</v>
      </c>
      <c r="W116">
        <v>127</v>
      </c>
      <c r="X116">
        <v>127.7</v>
      </c>
      <c r="Y116">
        <v>124.8</v>
      </c>
      <c r="Z116">
        <v>113.6</v>
      </c>
      <c r="AA116">
        <v>122.5</v>
      </c>
      <c r="AB116">
        <v>127.5</v>
      </c>
      <c r="AC116">
        <v>117.4</v>
      </c>
      <c r="AD116">
        <v>121.1</v>
      </c>
      <c r="AE116">
        <v>128</v>
      </c>
    </row>
    <row r="117" spans="1:31" x14ac:dyDescent="0.25">
      <c r="A117" t="s">
        <v>33</v>
      </c>
      <c r="B117">
        <v>2016</v>
      </c>
      <c r="C117" t="s">
        <v>36</v>
      </c>
      <c r="D117">
        <v>124.8</v>
      </c>
      <c r="E117">
        <v>136.30000000000001</v>
      </c>
      <c r="F117">
        <v>123.7</v>
      </c>
      <c r="G117">
        <v>129.69999999999999</v>
      </c>
      <c r="H117">
        <v>107.9</v>
      </c>
      <c r="I117">
        <v>119.9</v>
      </c>
      <c r="J117">
        <v>128.1</v>
      </c>
      <c r="K117">
        <v>170.3</v>
      </c>
      <c r="L117">
        <v>101.8</v>
      </c>
      <c r="M117">
        <v>140.1</v>
      </c>
      <c r="N117">
        <f t="shared" si="1"/>
        <v>128.26</v>
      </c>
      <c r="O117">
        <v>120.7</v>
      </c>
      <c r="P117">
        <v>135.4</v>
      </c>
      <c r="Q117">
        <v>128.9</v>
      </c>
      <c r="R117">
        <v>140.6</v>
      </c>
      <c r="S117">
        <v>126.4</v>
      </c>
      <c r="T117">
        <v>120.3</v>
      </c>
      <c r="U117">
        <v>125.5</v>
      </c>
      <c r="V117">
        <v>124.9</v>
      </c>
      <c r="W117">
        <v>114.8</v>
      </c>
      <c r="X117">
        <v>122.3</v>
      </c>
      <c r="Y117">
        <v>119.7</v>
      </c>
      <c r="Z117">
        <v>108.5</v>
      </c>
      <c r="AA117">
        <v>119.1</v>
      </c>
      <c r="AB117">
        <v>126.4</v>
      </c>
      <c r="AC117">
        <v>117.1</v>
      </c>
      <c r="AD117">
        <v>117.3</v>
      </c>
      <c r="AE117">
        <v>123.8</v>
      </c>
    </row>
    <row r="118" spans="1:31" x14ac:dyDescent="0.25">
      <c r="A118" t="s">
        <v>34</v>
      </c>
      <c r="B118">
        <v>2016</v>
      </c>
      <c r="C118" t="s">
        <v>36</v>
      </c>
      <c r="D118">
        <v>126.5</v>
      </c>
      <c r="E118">
        <v>135.1</v>
      </c>
      <c r="F118">
        <v>124.6</v>
      </c>
      <c r="G118">
        <v>130.19999999999999</v>
      </c>
      <c r="H118">
        <v>114.5</v>
      </c>
      <c r="I118">
        <v>126.2</v>
      </c>
      <c r="J118">
        <v>129.80000000000001</v>
      </c>
      <c r="K118">
        <v>164.3</v>
      </c>
      <c r="L118">
        <v>100.9</v>
      </c>
      <c r="M118">
        <v>133.9</v>
      </c>
      <c r="N118">
        <f t="shared" si="1"/>
        <v>128.60000000000002</v>
      </c>
      <c r="O118">
        <v>123.1</v>
      </c>
      <c r="P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row>
    <row r="119" spans="1:31" x14ac:dyDescent="0.25">
      <c r="A119" t="s">
        <v>30</v>
      </c>
      <c r="B119">
        <v>2016</v>
      </c>
      <c r="C119" t="s">
        <v>37</v>
      </c>
      <c r="D119">
        <v>127.4</v>
      </c>
      <c r="E119">
        <v>135.4</v>
      </c>
      <c r="F119">
        <v>123.4</v>
      </c>
      <c r="G119">
        <v>131.30000000000001</v>
      </c>
      <c r="H119">
        <v>118.2</v>
      </c>
      <c r="I119">
        <v>138.1</v>
      </c>
      <c r="J119">
        <v>134.1</v>
      </c>
      <c r="K119">
        <v>162.69999999999999</v>
      </c>
      <c r="L119">
        <v>105</v>
      </c>
      <c r="M119">
        <v>131.4</v>
      </c>
      <c r="N119">
        <f t="shared" si="1"/>
        <v>130.70000000000002</v>
      </c>
      <c r="O119">
        <v>125.4</v>
      </c>
      <c r="P119">
        <v>137.4</v>
      </c>
      <c r="Q119">
        <v>131.80000000000001</v>
      </c>
      <c r="R119">
        <v>135.5</v>
      </c>
      <c r="S119">
        <v>135</v>
      </c>
      <c r="T119">
        <v>130.6</v>
      </c>
      <c r="U119">
        <v>134.4</v>
      </c>
      <c r="V119">
        <v>139.25</v>
      </c>
      <c r="W119">
        <v>127</v>
      </c>
      <c r="X119">
        <v>128</v>
      </c>
      <c r="Y119">
        <v>125.2</v>
      </c>
      <c r="Z119">
        <v>114.4</v>
      </c>
      <c r="AA119">
        <v>123.2</v>
      </c>
      <c r="AB119">
        <v>127.9</v>
      </c>
      <c r="AC119">
        <v>118.4</v>
      </c>
      <c r="AD119">
        <v>121.7</v>
      </c>
      <c r="AE119">
        <v>129</v>
      </c>
    </row>
    <row r="120" spans="1:31"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f t="shared" si="1"/>
        <v>131.75</v>
      </c>
      <c r="O120">
        <v>121.1</v>
      </c>
      <c r="P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row>
    <row r="121" spans="1:31" x14ac:dyDescent="0.25">
      <c r="A121" t="s">
        <v>34</v>
      </c>
      <c r="B121">
        <v>2016</v>
      </c>
      <c r="C121" t="s">
        <v>37</v>
      </c>
      <c r="D121">
        <v>126.6</v>
      </c>
      <c r="E121">
        <v>136.80000000000001</v>
      </c>
      <c r="F121">
        <v>122</v>
      </c>
      <c r="G121">
        <v>130.9</v>
      </c>
      <c r="H121">
        <v>114.8</v>
      </c>
      <c r="I121">
        <v>134.80000000000001</v>
      </c>
      <c r="J121">
        <v>135</v>
      </c>
      <c r="K121">
        <v>167.5</v>
      </c>
      <c r="L121">
        <v>106.4</v>
      </c>
      <c r="M121">
        <v>134.4</v>
      </c>
      <c r="N121">
        <f t="shared" si="1"/>
        <v>130.92000000000002</v>
      </c>
      <c r="O121">
        <v>123.6</v>
      </c>
      <c r="P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row>
    <row r="122" spans="1:31" x14ac:dyDescent="0.25">
      <c r="A122" t="s">
        <v>30</v>
      </c>
      <c r="B122">
        <v>2016</v>
      </c>
      <c r="C122" t="s">
        <v>38</v>
      </c>
      <c r="D122">
        <v>127.6</v>
      </c>
      <c r="E122">
        <v>137.5</v>
      </c>
      <c r="F122">
        <v>124.4</v>
      </c>
      <c r="G122">
        <v>132.4</v>
      </c>
      <c r="H122">
        <v>118.2</v>
      </c>
      <c r="I122">
        <v>138.1</v>
      </c>
      <c r="J122">
        <v>141.80000000000001</v>
      </c>
      <c r="K122">
        <v>166</v>
      </c>
      <c r="L122">
        <v>107.5</v>
      </c>
      <c r="M122">
        <v>132.19999999999999</v>
      </c>
      <c r="N122">
        <f t="shared" si="1"/>
        <v>132.57</v>
      </c>
      <c r="O122">
        <v>126.1</v>
      </c>
      <c r="P122">
        <v>138.30000000000001</v>
      </c>
      <c r="Q122">
        <v>133.6</v>
      </c>
      <c r="R122">
        <v>136</v>
      </c>
      <c r="S122">
        <v>135.4</v>
      </c>
      <c r="T122">
        <v>131.1</v>
      </c>
      <c r="U122">
        <v>134.80000000000001</v>
      </c>
      <c r="V122">
        <v>139.25</v>
      </c>
      <c r="W122">
        <v>127.4</v>
      </c>
      <c r="X122">
        <v>128.5</v>
      </c>
      <c r="Y122">
        <v>125.8</v>
      </c>
      <c r="Z122">
        <v>115.1</v>
      </c>
      <c r="AA122">
        <v>123.6</v>
      </c>
      <c r="AB122">
        <v>129.1</v>
      </c>
      <c r="AC122">
        <v>119.7</v>
      </c>
      <c r="AD122">
        <v>122.5</v>
      </c>
      <c r="AE122">
        <v>130.30000000000001</v>
      </c>
    </row>
    <row r="123" spans="1:31" x14ac:dyDescent="0.25">
      <c r="A123" t="s">
        <v>33</v>
      </c>
      <c r="B123">
        <v>2016</v>
      </c>
      <c r="C123" t="s">
        <v>38</v>
      </c>
      <c r="D123">
        <v>125</v>
      </c>
      <c r="E123">
        <v>142.1</v>
      </c>
      <c r="F123">
        <v>127</v>
      </c>
      <c r="G123">
        <v>130.4</v>
      </c>
      <c r="H123">
        <v>109.6</v>
      </c>
      <c r="I123">
        <v>133.5</v>
      </c>
      <c r="J123">
        <v>151.4</v>
      </c>
      <c r="K123">
        <v>182.8</v>
      </c>
      <c r="L123">
        <v>111.1</v>
      </c>
      <c r="M123">
        <v>141.5</v>
      </c>
      <c r="N123">
        <f t="shared" si="1"/>
        <v>135.44</v>
      </c>
      <c r="O123">
        <v>121.5</v>
      </c>
      <c r="P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row>
    <row r="124" spans="1:31" x14ac:dyDescent="0.25">
      <c r="A124" t="s">
        <v>34</v>
      </c>
      <c r="B124">
        <v>2016</v>
      </c>
      <c r="C124" t="s">
        <v>38</v>
      </c>
      <c r="D124">
        <v>126.8</v>
      </c>
      <c r="E124">
        <v>139.1</v>
      </c>
      <c r="F124">
        <v>125.4</v>
      </c>
      <c r="G124">
        <v>131.69999999999999</v>
      </c>
      <c r="H124">
        <v>115</v>
      </c>
      <c r="I124">
        <v>136</v>
      </c>
      <c r="J124">
        <v>145.1</v>
      </c>
      <c r="K124">
        <v>171.7</v>
      </c>
      <c r="L124">
        <v>108.7</v>
      </c>
      <c r="M124">
        <v>135.30000000000001</v>
      </c>
      <c r="N124">
        <f t="shared" si="1"/>
        <v>133.47999999999999</v>
      </c>
      <c r="O124">
        <v>124.2</v>
      </c>
      <c r="P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row>
    <row r="125" spans="1:31" x14ac:dyDescent="0.25">
      <c r="A125" t="s">
        <v>30</v>
      </c>
      <c r="B125">
        <v>2016</v>
      </c>
      <c r="C125" t="s">
        <v>39</v>
      </c>
      <c r="D125">
        <v>128.6</v>
      </c>
      <c r="E125">
        <v>138.6</v>
      </c>
      <c r="F125">
        <v>126.6</v>
      </c>
      <c r="G125">
        <v>133.6</v>
      </c>
      <c r="H125">
        <v>118.6</v>
      </c>
      <c r="I125">
        <v>137.4</v>
      </c>
      <c r="J125">
        <v>152.5</v>
      </c>
      <c r="K125">
        <v>169.2</v>
      </c>
      <c r="L125">
        <v>108.8</v>
      </c>
      <c r="M125">
        <v>133.1</v>
      </c>
      <c r="N125">
        <f t="shared" si="1"/>
        <v>134.69999999999999</v>
      </c>
      <c r="O125">
        <v>126.4</v>
      </c>
      <c r="P125">
        <v>139.19999999999999</v>
      </c>
      <c r="Q125">
        <v>136</v>
      </c>
      <c r="R125">
        <v>137.19999999999999</v>
      </c>
      <c r="S125">
        <v>136.30000000000001</v>
      </c>
      <c r="T125">
        <v>131.6</v>
      </c>
      <c r="U125">
        <v>135.6</v>
      </c>
      <c r="V125">
        <v>139.25</v>
      </c>
      <c r="W125">
        <v>128</v>
      </c>
      <c r="X125">
        <v>129.30000000000001</v>
      </c>
      <c r="Y125">
        <v>126.2</v>
      </c>
      <c r="Z125">
        <v>116.3</v>
      </c>
      <c r="AA125">
        <v>124.1</v>
      </c>
      <c r="AB125">
        <v>130.19999999999999</v>
      </c>
      <c r="AC125">
        <v>119.9</v>
      </c>
      <c r="AD125">
        <v>123.3</v>
      </c>
      <c r="AE125">
        <v>131.9</v>
      </c>
    </row>
    <row r="126" spans="1:31" x14ac:dyDescent="0.25">
      <c r="A126" t="s">
        <v>33</v>
      </c>
      <c r="B126">
        <v>2016</v>
      </c>
      <c r="C126" t="s">
        <v>39</v>
      </c>
      <c r="D126">
        <v>125.9</v>
      </c>
      <c r="E126">
        <v>143.9</v>
      </c>
      <c r="F126">
        <v>130.9</v>
      </c>
      <c r="G126">
        <v>131</v>
      </c>
      <c r="H126">
        <v>110.2</v>
      </c>
      <c r="I126">
        <v>135.5</v>
      </c>
      <c r="J126">
        <v>173.7</v>
      </c>
      <c r="K126">
        <v>184.4</v>
      </c>
      <c r="L126">
        <v>112</v>
      </c>
      <c r="M126">
        <v>142.80000000000001</v>
      </c>
      <c r="N126">
        <f t="shared" si="1"/>
        <v>139.03000000000003</v>
      </c>
      <c r="O126">
        <v>121.6</v>
      </c>
      <c r="P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row>
    <row r="127" spans="1:31"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f t="shared" si="1"/>
        <v>136.13</v>
      </c>
      <c r="O127">
        <v>124.4</v>
      </c>
      <c r="P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row>
    <row r="128" spans="1:31"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f t="shared" si="1"/>
        <v>136.54999999999998</v>
      </c>
      <c r="O128">
        <v>127.3</v>
      </c>
      <c r="P128">
        <v>139.9</v>
      </c>
      <c r="Q128">
        <v>137.6</v>
      </c>
      <c r="R128">
        <v>138</v>
      </c>
      <c r="S128">
        <v>137.19999999999999</v>
      </c>
      <c r="T128">
        <v>132.19999999999999</v>
      </c>
      <c r="U128">
        <v>136.5</v>
      </c>
      <c r="V128">
        <v>139.25</v>
      </c>
      <c r="W128">
        <v>128.19999999999999</v>
      </c>
      <c r="X128">
        <v>130</v>
      </c>
      <c r="Y128">
        <v>126.7</v>
      </c>
      <c r="Z128">
        <v>116.4</v>
      </c>
      <c r="AA128">
        <v>125.2</v>
      </c>
      <c r="AB128">
        <v>130.80000000000001</v>
      </c>
      <c r="AC128">
        <v>120.9</v>
      </c>
      <c r="AD128">
        <v>123.8</v>
      </c>
      <c r="AE128">
        <v>133</v>
      </c>
    </row>
    <row r="129" spans="1:31" x14ac:dyDescent="0.25">
      <c r="A129" t="s">
        <v>33</v>
      </c>
      <c r="B129">
        <v>2016</v>
      </c>
      <c r="C129" t="s">
        <v>40</v>
      </c>
      <c r="D129">
        <v>126.8</v>
      </c>
      <c r="E129">
        <v>144.19999999999999</v>
      </c>
      <c r="F129">
        <v>136.6</v>
      </c>
      <c r="G129">
        <v>131.80000000000001</v>
      </c>
      <c r="H129">
        <v>111</v>
      </c>
      <c r="I129">
        <v>137</v>
      </c>
      <c r="J129">
        <v>179.5</v>
      </c>
      <c r="K129">
        <v>188.4</v>
      </c>
      <c r="L129">
        <v>113.3</v>
      </c>
      <c r="M129">
        <v>143.9</v>
      </c>
      <c r="N129">
        <f t="shared" si="1"/>
        <v>141.25000000000003</v>
      </c>
      <c r="O129">
        <v>121.7</v>
      </c>
      <c r="P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row>
    <row r="130" spans="1:31"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f t="shared" si="1"/>
        <v>138.13</v>
      </c>
      <c r="O130">
        <v>125</v>
      </c>
      <c r="P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row>
    <row r="131" spans="1:31"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f t="shared" ref="N131:N194" si="2">AVERAGE(D131:M131)</f>
        <v>137.07</v>
      </c>
      <c r="O131">
        <v>128.1</v>
      </c>
      <c r="P131">
        <v>140.69999999999999</v>
      </c>
      <c r="Q131">
        <v>138</v>
      </c>
      <c r="R131">
        <v>138.9</v>
      </c>
      <c r="S131">
        <v>137.80000000000001</v>
      </c>
      <c r="T131">
        <v>133</v>
      </c>
      <c r="U131">
        <v>137.1</v>
      </c>
      <c r="V131">
        <v>139.25</v>
      </c>
      <c r="W131">
        <v>129.1</v>
      </c>
      <c r="X131">
        <v>130.6</v>
      </c>
      <c r="Y131">
        <v>127</v>
      </c>
      <c r="Z131">
        <v>116</v>
      </c>
      <c r="AA131">
        <v>125.5</v>
      </c>
      <c r="AB131">
        <v>131.9</v>
      </c>
      <c r="AC131">
        <v>122</v>
      </c>
      <c r="AD131">
        <v>124.2</v>
      </c>
      <c r="AE131">
        <v>133.5</v>
      </c>
    </row>
    <row r="132" spans="1:31"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f t="shared" si="2"/>
        <v>138.63999999999996</v>
      </c>
      <c r="O132">
        <v>121.9</v>
      </c>
      <c r="P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row>
    <row r="133" spans="1:31" x14ac:dyDescent="0.25">
      <c r="A133" t="s">
        <v>34</v>
      </c>
      <c r="B133">
        <v>2016</v>
      </c>
      <c r="C133" t="s">
        <v>41</v>
      </c>
      <c r="D133">
        <v>129.30000000000001</v>
      </c>
      <c r="E133">
        <v>139.30000000000001</v>
      </c>
      <c r="F133">
        <v>131.6</v>
      </c>
      <c r="G133">
        <v>134.1</v>
      </c>
      <c r="H133">
        <v>116.9</v>
      </c>
      <c r="I133">
        <v>138.1</v>
      </c>
      <c r="J133">
        <v>159.1</v>
      </c>
      <c r="K133">
        <v>175.6</v>
      </c>
      <c r="L133">
        <v>112.9</v>
      </c>
      <c r="M133">
        <v>138.1</v>
      </c>
      <c r="N133">
        <f t="shared" si="2"/>
        <v>137.5</v>
      </c>
      <c r="O133">
        <v>125.5</v>
      </c>
      <c r="P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row>
    <row r="134" spans="1:31"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f t="shared" si="2"/>
        <v>136.32</v>
      </c>
      <c r="O134">
        <v>128.80000000000001</v>
      </c>
      <c r="P134">
        <v>141.5</v>
      </c>
      <c r="Q134">
        <v>137.19999999999999</v>
      </c>
      <c r="R134">
        <v>139.9</v>
      </c>
      <c r="S134">
        <v>138.5</v>
      </c>
      <c r="T134">
        <v>133.5</v>
      </c>
      <c r="U134">
        <v>137.80000000000001</v>
      </c>
      <c r="V134">
        <v>139.25</v>
      </c>
      <c r="W134">
        <v>129.69999999999999</v>
      </c>
      <c r="X134">
        <v>131.1</v>
      </c>
      <c r="Y134">
        <v>127.8</v>
      </c>
      <c r="Z134">
        <v>117</v>
      </c>
      <c r="AA134">
        <v>125.7</v>
      </c>
      <c r="AB134">
        <v>132.19999999999999</v>
      </c>
      <c r="AC134">
        <v>122.8</v>
      </c>
      <c r="AD134">
        <v>124.9</v>
      </c>
      <c r="AE134">
        <v>133.4</v>
      </c>
    </row>
    <row r="135" spans="1:31" x14ac:dyDescent="0.25">
      <c r="A135" t="s">
        <v>33</v>
      </c>
      <c r="B135">
        <v>2016</v>
      </c>
      <c r="C135" t="s">
        <v>42</v>
      </c>
      <c r="D135">
        <v>128.1</v>
      </c>
      <c r="E135">
        <v>137.69999999999999</v>
      </c>
      <c r="F135">
        <v>130.6</v>
      </c>
      <c r="G135">
        <v>132.6</v>
      </c>
      <c r="H135">
        <v>111.9</v>
      </c>
      <c r="I135">
        <v>132.5</v>
      </c>
      <c r="J135">
        <v>152.9</v>
      </c>
      <c r="K135">
        <v>173.6</v>
      </c>
      <c r="L135">
        <v>115.1</v>
      </c>
      <c r="M135">
        <v>144.80000000000001</v>
      </c>
      <c r="N135">
        <f t="shared" si="2"/>
        <v>135.97999999999996</v>
      </c>
      <c r="O135">
        <v>122.1</v>
      </c>
      <c r="P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row>
    <row r="136" spans="1:31" x14ac:dyDescent="0.25">
      <c r="A136" t="s">
        <v>34</v>
      </c>
      <c r="B136">
        <v>2016</v>
      </c>
      <c r="C136" t="s">
        <v>42</v>
      </c>
      <c r="D136">
        <v>129.9</v>
      </c>
      <c r="E136">
        <v>138</v>
      </c>
      <c r="F136">
        <v>130.5</v>
      </c>
      <c r="G136">
        <v>134.4</v>
      </c>
      <c r="H136">
        <v>117.2</v>
      </c>
      <c r="I136">
        <v>136.1</v>
      </c>
      <c r="J136">
        <v>150.69999999999999</v>
      </c>
      <c r="K136">
        <v>171.5</v>
      </c>
      <c r="L136">
        <v>113.8</v>
      </c>
      <c r="M136">
        <v>138.80000000000001</v>
      </c>
      <c r="N136">
        <f t="shared" si="2"/>
        <v>136.08999999999997</v>
      </c>
      <c r="O136">
        <v>126</v>
      </c>
      <c r="P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row>
    <row r="137" spans="1:31"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f t="shared" si="2"/>
        <v>136.32999999999998</v>
      </c>
      <c r="O137">
        <v>128.69999999999999</v>
      </c>
      <c r="P137">
        <v>142.4</v>
      </c>
      <c r="Q137">
        <v>137.4</v>
      </c>
      <c r="R137">
        <v>140.9</v>
      </c>
      <c r="S137">
        <v>139.6</v>
      </c>
      <c r="T137">
        <v>134.30000000000001</v>
      </c>
      <c r="U137">
        <v>138.80000000000001</v>
      </c>
      <c r="V137">
        <v>139.25</v>
      </c>
      <c r="W137">
        <v>129.80000000000001</v>
      </c>
      <c r="X137">
        <v>131.80000000000001</v>
      </c>
      <c r="Y137">
        <v>128.69999999999999</v>
      </c>
      <c r="Z137">
        <v>117.8</v>
      </c>
      <c r="AA137">
        <v>126.5</v>
      </c>
      <c r="AB137">
        <v>133</v>
      </c>
      <c r="AC137">
        <v>123</v>
      </c>
      <c r="AD137">
        <v>125.7</v>
      </c>
      <c r="AE137">
        <v>133.80000000000001</v>
      </c>
    </row>
    <row r="138" spans="1:31"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f t="shared" si="2"/>
        <v>136.44999999999999</v>
      </c>
      <c r="O138">
        <v>122.5</v>
      </c>
      <c r="P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row>
    <row r="139" spans="1:31"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f t="shared" si="2"/>
        <v>136.25999999999996</v>
      </c>
      <c r="O139">
        <v>126.1</v>
      </c>
      <c r="P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row>
    <row r="140" spans="1:31"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f t="shared" si="2"/>
        <v>135.62</v>
      </c>
      <c r="O140">
        <v>128.69999999999999</v>
      </c>
      <c r="P140">
        <v>143.1</v>
      </c>
      <c r="Q140">
        <v>136.6</v>
      </c>
      <c r="R140">
        <v>141.19999999999999</v>
      </c>
      <c r="S140">
        <v>139.9</v>
      </c>
      <c r="T140">
        <v>134.5</v>
      </c>
      <c r="U140">
        <v>139.19999999999999</v>
      </c>
      <c r="V140">
        <v>139.25</v>
      </c>
      <c r="W140">
        <v>130.30000000000001</v>
      </c>
      <c r="X140">
        <v>132.1</v>
      </c>
      <c r="Y140">
        <v>129.1</v>
      </c>
      <c r="Z140">
        <v>118.2</v>
      </c>
      <c r="AA140">
        <v>126.9</v>
      </c>
      <c r="AB140">
        <v>133.69999999999999</v>
      </c>
      <c r="AC140">
        <v>123.5</v>
      </c>
      <c r="AD140">
        <v>126.1</v>
      </c>
      <c r="AE140">
        <v>133.6</v>
      </c>
    </row>
    <row r="141" spans="1:31" x14ac:dyDescent="0.25">
      <c r="A141" t="s">
        <v>33</v>
      </c>
      <c r="B141">
        <v>2016</v>
      </c>
      <c r="C141" t="s">
        <v>45</v>
      </c>
      <c r="D141">
        <v>130.19999999999999</v>
      </c>
      <c r="E141">
        <v>138.5</v>
      </c>
      <c r="F141">
        <v>134.1</v>
      </c>
      <c r="G141">
        <v>132.9</v>
      </c>
      <c r="H141">
        <v>112.6</v>
      </c>
      <c r="I141">
        <v>130.80000000000001</v>
      </c>
      <c r="J141">
        <v>142</v>
      </c>
      <c r="K141">
        <v>174.9</v>
      </c>
      <c r="L141">
        <v>115.6</v>
      </c>
      <c r="M141">
        <v>145.4</v>
      </c>
      <c r="N141">
        <f t="shared" si="2"/>
        <v>135.69999999999999</v>
      </c>
      <c r="O141">
        <v>122.7</v>
      </c>
      <c r="P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row>
    <row r="142" spans="1:31" x14ac:dyDescent="0.25">
      <c r="A142" t="s">
        <v>34</v>
      </c>
      <c r="B142">
        <v>2016</v>
      </c>
      <c r="C142" t="s">
        <v>45</v>
      </c>
      <c r="D142">
        <v>131.4</v>
      </c>
      <c r="E142">
        <v>137.80000000000001</v>
      </c>
      <c r="F142">
        <v>132</v>
      </c>
      <c r="G142">
        <v>135</v>
      </c>
      <c r="H142">
        <v>118</v>
      </c>
      <c r="I142">
        <v>134.1</v>
      </c>
      <c r="J142">
        <v>141.9</v>
      </c>
      <c r="K142">
        <v>171.7</v>
      </c>
      <c r="L142">
        <v>114.1</v>
      </c>
      <c r="M142">
        <v>139.69999999999999</v>
      </c>
      <c r="N142">
        <f t="shared" si="2"/>
        <v>135.57</v>
      </c>
      <c r="O142">
        <v>126.2</v>
      </c>
      <c r="P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row>
    <row r="143" spans="1:31" x14ac:dyDescent="0.25">
      <c r="A143" t="s">
        <v>30</v>
      </c>
      <c r="B143">
        <v>2016</v>
      </c>
      <c r="C143" t="s">
        <v>46</v>
      </c>
      <c r="D143">
        <v>132.6</v>
      </c>
      <c r="E143">
        <v>137.30000000000001</v>
      </c>
      <c r="F143">
        <v>131.6</v>
      </c>
      <c r="G143">
        <v>136.30000000000001</v>
      </c>
      <c r="H143">
        <v>121.6</v>
      </c>
      <c r="I143">
        <v>135.6</v>
      </c>
      <c r="J143">
        <v>127.5</v>
      </c>
      <c r="K143">
        <v>167.9</v>
      </c>
      <c r="L143">
        <v>113.8</v>
      </c>
      <c r="M143">
        <v>137.5</v>
      </c>
      <c r="N143">
        <f t="shared" si="2"/>
        <v>134.17000000000002</v>
      </c>
      <c r="O143">
        <v>129.1</v>
      </c>
      <c r="P143">
        <v>143.6</v>
      </c>
      <c r="Q143">
        <v>134.69999999999999</v>
      </c>
      <c r="R143">
        <v>142.4</v>
      </c>
      <c r="S143">
        <v>140.4</v>
      </c>
      <c r="T143">
        <v>135.19999999999999</v>
      </c>
      <c r="U143">
        <v>139.69999999999999</v>
      </c>
      <c r="V143">
        <v>139.25</v>
      </c>
      <c r="W143">
        <v>132</v>
      </c>
      <c r="X143">
        <v>132.9</v>
      </c>
      <c r="Y143">
        <v>129.69999999999999</v>
      </c>
      <c r="Z143">
        <v>118.6</v>
      </c>
      <c r="AA143">
        <v>127.3</v>
      </c>
      <c r="AB143">
        <v>134.19999999999999</v>
      </c>
      <c r="AC143">
        <v>121.9</v>
      </c>
      <c r="AD143">
        <v>126.3</v>
      </c>
      <c r="AE143">
        <v>132.80000000000001</v>
      </c>
    </row>
    <row r="144" spans="1:31" x14ac:dyDescent="0.25">
      <c r="A144" t="s">
        <v>33</v>
      </c>
      <c r="B144">
        <v>2016</v>
      </c>
      <c r="C144" t="s">
        <v>46</v>
      </c>
      <c r="D144">
        <v>131.6</v>
      </c>
      <c r="E144">
        <v>138.19999999999999</v>
      </c>
      <c r="F144">
        <v>134.9</v>
      </c>
      <c r="G144">
        <v>133.1</v>
      </c>
      <c r="H144">
        <v>113.5</v>
      </c>
      <c r="I144">
        <v>129.30000000000001</v>
      </c>
      <c r="J144">
        <v>121.1</v>
      </c>
      <c r="K144">
        <v>170.3</v>
      </c>
      <c r="L144">
        <v>115.5</v>
      </c>
      <c r="M144">
        <v>145.5</v>
      </c>
      <c r="N144">
        <f t="shared" si="2"/>
        <v>133.30000000000001</v>
      </c>
      <c r="O144">
        <v>123.1</v>
      </c>
      <c r="P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row>
    <row r="145" spans="1:31"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f t="shared" si="2"/>
        <v>133.78000000000003</v>
      </c>
      <c r="O145">
        <v>126.6</v>
      </c>
      <c r="P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row>
    <row r="146" spans="1:31"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f t="shared" si="2"/>
        <v>133.07</v>
      </c>
      <c r="O146">
        <v>129</v>
      </c>
      <c r="P146">
        <v>143.9</v>
      </c>
      <c r="Q146">
        <v>133.69999999999999</v>
      </c>
      <c r="R146">
        <v>143.1</v>
      </c>
      <c r="S146">
        <v>140.69999999999999</v>
      </c>
      <c r="T146">
        <v>135.80000000000001</v>
      </c>
      <c r="U146">
        <v>140</v>
      </c>
      <c r="V146">
        <v>139.25</v>
      </c>
      <c r="W146">
        <v>132.1</v>
      </c>
      <c r="X146">
        <v>133.19999999999999</v>
      </c>
      <c r="Y146">
        <v>129.9</v>
      </c>
      <c r="Z146">
        <v>119.1</v>
      </c>
      <c r="AA146">
        <v>127</v>
      </c>
      <c r="AB146">
        <v>134.6</v>
      </c>
      <c r="AC146">
        <v>122.3</v>
      </c>
      <c r="AD146">
        <v>126.6</v>
      </c>
      <c r="AE146">
        <v>132.4</v>
      </c>
    </row>
    <row r="147" spans="1:31" x14ac:dyDescent="0.25">
      <c r="A147" t="s">
        <v>33</v>
      </c>
      <c r="B147">
        <v>2017</v>
      </c>
      <c r="C147" t="s">
        <v>31</v>
      </c>
      <c r="D147">
        <v>132.19999999999999</v>
      </c>
      <c r="E147">
        <v>138.9</v>
      </c>
      <c r="F147">
        <v>132.6</v>
      </c>
      <c r="G147">
        <v>133.1</v>
      </c>
      <c r="H147">
        <v>114</v>
      </c>
      <c r="I147">
        <v>129.6</v>
      </c>
      <c r="J147">
        <v>118.7</v>
      </c>
      <c r="K147">
        <v>155.1</v>
      </c>
      <c r="L147">
        <v>117.3</v>
      </c>
      <c r="M147">
        <v>144.9</v>
      </c>
      <c r="N147">
        <f t="shared" si="2"/>
        <v>131.64000000000001</v>
      </c>
      <c r="O147">
        <v>123.2</v>
      </c>
      <c r="P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row>
    <row r="148" spans="1:31"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f t="shared" si="2"/>
        <v>132.47999999999996</v>
      </c>
      <c r="O148">
        <v>126.6</v>
      </c>
      <c r="P148">
        <v>142.80000000000001</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row>
    <row r="149" spans="1:31"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f t="shared" si="2"/>
        <v>132.71</v>
      </c>
      <c r="O149">
        <v>129.4</v>
      </c>
      <c r="P149">
        <v>144.4</v>
      </c>
      <c r="Q149">
        <v>133.6</v>
      </c>
      <c r="R149">
        <v>143.69999999999999</v>
      </c>
      <c r="S149">
        <v>140.9</v>
      </c>
      <c r="T149">
        <v>135.80000000000001</v>
      </c>
      <c r="U149">
        <v>140.19999999999999</v>
      </c>
      <c r="V149">
        <v>139.25</v>
      </c>
      <c r="W149">
        <v>133.19999999999999</v>
      </c>
      <c r="X149">
        <v>133.6</v>
      </c>
      <c r="Y149">
        <v>130.1</v>
      </c>
      <c r="Z149">
        <v>119.5</v>
      </c>
      <c r="AA149">
        <v>127.7</v>
      </c>
      <c r="AB149">
        <v>134.9</v>
      </c>
      <c r="AC149">
        <v>123.2</v>
      </c>
      <c r="AD149">
        <v>127</v>
      </c>
      <c r="AE149">
        <v>132.6</v>
      </c>
    </row>
    <row r="150" spans="1:31"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f t="shared" si="2"/>
        <v>130.79000000000002</v>
      </c>
      <c r="O150">
        <v>123.4</v>
      </c>
      <c r="P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row>
    <row r="151" spans="1:31"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f t="shared" si="2"/>
        <v>131.92000000000002</v>
      </c>
      <c r="O151">
        <v>126.9</v>
      </c>
      <c r="P151">
        <v>143.19999999999999</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row>
    <row r="152" spans="1:31"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f t="shared" si="2"/>
        <v>131.99</v>
      </c>
      <c r="O152">
        <v>129.80000000000001</v>
      </c>
      <c r="P152">
        <v>145.4</v>
      </c>
      <c r="Q152">
        <v>133.4</v>
      </c>
      <c r="R152">
        <v>144.19999999999999</v>
      </c>
      <c r="S152">
        <v>141.6</v>
      </c>
      <c r="T152">
        <v>136.19999999999999</v>
      </c>
      <c r="U152">
        <v>140.80000000000001</v>
      </c>
      <c r="V152">
        <v>139.25</v>
      </c>
      <c r="W152">
        <v>134.19999999999999</v>
      </c>
      <c r="X152">
        <v>134.1</v>
      </c>
      <c r="Y152">
        <v>130.6</v>
      </c>
      <c r="Z152">
        <v>119.8</v>
      </c>
      <c r="AA152">
        <v>128.30000000000001</v>
      </c>
      <c r="AB152">
        <v>135.19999999999999</v>
      </c>
      <c r="AC152">
        <v>123.3</v>
      </c>
      <c r="AD152">
        <v>127.4</v>
      </c>
      <c r="AE152">
        <v>132.80000000000001</v>
      </c>
    </row>
    <row r="153" spans="1:31"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f t="shared" si="2"/>
        <v>130.70999999999998</v>
      </c>
      <c r="O153">
        <v>123.6</v>
      </c>
      <c r="P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row>
    <row r="154" spans="1:31"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f t="shared" si="2"/>
        <v>131.46</v>
      </c>
      <c r="O154">
        <v>127.2</v>
      </c>
      <c r="P154">
        <v>144</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row>
    <row r="155" spans="1:31"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f t="shared" si="2"/>
        <v>131.72999999999999</v>
      </c>
      <c r="O155">
        <v>130</v>
      </c>
      <c r="P155">
        <v>145.5</v>
      </c>
      <c r="Q155">
        <v>133.5</v>
      </c>
      <c r="R155">
        <v>144.4</v>
      </c>
      <c r="S155">
        <v>142.4</v>
      </c>
      <c r="T155">
        <v>136.80000000000001</v>
      </c>
      <c r="U155">
        <v>141.6</v>
      </c>
      <c r="V155">
        <v>139.25</v>
      </c>
      <c r="W155">
        <v>135</v>
      </c>
      <c r="X155">
        <v>134.30000000000001</v>
      </c>
      <c r="Y155">
        <v>131</v>
      </c>
      <c r="Z155">
        <v>119.2</v>
      </c>
      <c r="AA155">
        <v>128.30000000000001</v>
      </c>
      <c r="AB155">
        <v>135.69999999999999</v>
      </c>
      <c r="AC155">
        <v>123.7</v>
      </c>
      <c r="AD155">
        <v>127.5</v>
      </c>
      <c r="AE155">
        <v>132.9</v>
      </c>
    </row>
    <row r="156" spans="1:31"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f t="shared" si="2"/>
        <v>130.82999999999998</v>
      </c>
      <c r="O156">
        <v>123.8</v>
      </c>
      <c r="P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row>
    <row r="157" spans="1:31" x14ac:dyDescent="0.25">
      <c r="A157" t="s">
        <v>34</v>
      </c>
      <c r="B157">
        <v>2017</v>
      </c>
      <c r="C157" t="s">
        <v>37</v>
      </c>
      <c r="D157">
        <v>133</v>
      </c>
      <c r="E157">
        <v>139.4</v>
      </c>
      <c r="F157">
        <v>126.1</v>
      </c>
      <c r="G157">
        <v>137.19999999999999</v>
      </c>
      <c r="H157">
        <v>118.4</v>
      </c>
      <c r="I157">
        <v>139.9</v>
      </c>
      <c r="J157">
        <v>123.4</v>
      </c>
      <c r="K157">
        <v>140.9</v>
      </c>
      <c r="L157">
        <v>118.5</v>
      </c>
      <c r="M157">
        <v>136.5</v>
      </c>
      <c r="N157">
        <f t="shared" si="2"/>
        <v>131.32999999999998</v>
      </c>
      <c r="O157">
        <v>127.4</v>
      </c>
      <c r="P157">
        <v>144.19999999999999</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row>
    <row r="158" spans="1:31"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f t="shared" si="2"/>
        <v>131.75999999999996</v>
      </c>
      <c r="O158">
        <v>130.30000000000001</v>
      </c>
      <c r="P158">
        <v>145.80000000000001</v>
      </c>
      <c r="Q158">
        <v>133.80000000000001</v>
      </c>
      <c r="R158">
        <v>145.5</v>
      </c>
      <c r="S158">
        <v>142.5</v>
      </c>
      <c r="T158">
        <v>137.30000000000001</v>
      </c>
      <c r="U158">
        <v>141.80000000000001</v>
      </c>
      <c r="V158">
        <v>139.25</v>
      </c>
      <c r="W158">
        <v>135</v>
      </c>
      <c r="X158">
        <v>134.9</v>
      </c>
      <c r="Y158">
        <v>131.4</v>
      </c>
      <c r="Z158">
        <v>119.4</v>
      </c>
      <c r="AA158">
        <v>129.4</v>
      </c>
      <c r="AB158">
        <v>136.30000000000001</v>
      </c>
      <c r="AC158">
        <v>123.7</v>
      </c>
      <c r="AD158">
        <v>127.9</v>
      </c>
      <c r="AE158">
        <v>133.30000000000001</v>
      </c>
    </row>
    <row r="159" spans="1:31"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f t="shared" si="2"/>
        <v>130.93</v>
      </c>
      <c r="O159">
        <v>123.8</v>
      </c>
      <c r="P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row>
    <row r="160" spans="1:31" x14ac:dyDescent="0.25">
      <c r="A160" t="s">
        <v>34</v>
      </c>
      <c r="B160">
        <v>2017</v>
      </c>
      <c r="C160" t="s">
        <v>38</v>
      </c>
      <c r="D160">
        <v>132.9</v>
      </c>
      <c r="E160">
        <v>141.6</v>
      </c>
      <c r="F160">
        <v>126.3</v>
      </c>
      <c r="G160">
        <v>137.69999999999999</v>
      </c>
      <c r="H160">
        <v>118.1</v>
      </c>
      <c r="I160">
        <v>137.9</v>
      </c>
      <c r="J160">
        <v>125.6</v>
      </c>
      <c r="K160">
        <v>138.30000000000001</v>
      </c>
      <c r="L160">
        <v>119.4</v>
      </c>
      <c r="M160">
        <v>136</v>
      </c>
      <c r="N160">
        <f t="shared" si="2"/>
        <v>131.38000000000002</v>
      </c>
      <c r="O160">
        <v>127.6</v>
      </c>
      <c r="P160">
        <v>144.5</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row>
    <row r="161" spans="1:31"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f t="shared" si="2"/>
        <v>132.69999999999999</v>
      </c>
      <c r="O161">
        <v>130.4</v>
      </c>
      <c r="P161">
        <v>146.5</v>
      </c>
      <c r="Q161">
        <v>134.9</v>
      </c>
      <c r="R161">
        <v>145.80000000000001</v>
      </c>
      <c r="S161">
        <v>143.1</v>
      </c>
      <c r="T161">
        <v>137.69999999999999</v>
      </c>
      <c r="U161">
        <v>142.30000000000001</v>
      </c>
      <c r="V161">
        <v>139.25</v>
      </c>
      <c r="W161">
        <v>134.80000000000001</v>
      </c>
      <c r="X161">
        <v>135.19999999999999</v>
      </c>
      <c r="Y161">
        <v>131.30000000000001</v>
      </c>
      <c r="Z161">
        <v>119.4</v>
      </c>
      <c r="AA161">
        <v>129.80000000000001</v>
      </c>
      <c r="AB161">
        <v>136.9</v>
      </c>
      <c r="AC161">
        <v>124.1</v>
      </c>
      <c r="AD161">
        <v>128.1</v>
      </c>
      <c r="AE161">
        <v>133.9</v>
      </c>
    </row>
    <row r="162" spans="1:31"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f t="shared" si="2"/>
        <v>132.80000000000001</v>
      </c>
      <c r="O162">
        <v>124.2</v>
      </c>
      <c r="P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row>
    <row r="163" spans="1:31"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f t="shared" si="2"/>
        <v>132.68</v>
      </c>
      <c r="O163">
        <v>127.8</v>
      </c>
      <c r="P163">
        <v>144.9</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row>
    <row r="164" spans="1:31" x14ac:dyDescent="0.25">
      <c r="A164" t="s">
        <v>30</v>
      </c>
      <c r="B164">
        <v>2017</v>
      </c>
      <c r="C164" t="s">
        <v>40</v>
      </c>
      <c r="D164">
        <v>134</v>
      </c>
      <c r="E164">
        <v>144.19999999999999</v>
      </c>
      <c r="F164">
        <v>129.80000000000001</v>
      </c>
      <c r="G164">
        <v>139</v>
      </c>
      <c r="H164">
        <v>120.9</v>
      </c>
      <c r="I164">
        <v>143.9</v>
      </c>
      <c r="J164">
        <v>151.5</v>
      </c>
      <c r="K164">
        <v>138.1</v>
      </c>
      <c r="L164">
        <v>120</v>
      </c>
      <c r="M164">
        <v>133.9</v>
      </c>
      <c r="N164">
        <f t="shared" si="2"/>
        <v>135.53</v>
      </c>
      <c r="O164">
        <v>131.4</v>
      </c>
      <c r="P164">
        <v>147.69999999999999</v>
      </c>
      <c r="Q164">
        <v>138.5</v>
      </c>
      <c r="R164">
        <v>147.4</v>
      </c>
      <c r="S164">
        <v>144.30000000000001</v>
      </c>
      <c r="T164">
        <v>138.1</v>
      </c>
      <c r="U164">
        <v>143.5</v>
      </c>
      <c r="V164">
        <v>139.25</v>
      </c>
      <c r="W164">
        <v>135.30000000000001</v>
      </c>
      <c r="X164">
        <v>136.1</v>
      </c>
      <c r="Y164">
        <v>132.1</v>
      </c>
      <c r="Z164">
        <v>119.1</v>
      </c>
      <c r="AA164">
        <v>130.6</v>
      </c>
      <c r="AB164">
        <v>138.6</v>
      </c>
      <c r="AC164">
        <v>124.4</v>
      </c>
      <c r="AD164">
        <v>128.6</v>
      </c>
      <c r="AE164">
        <v>136.19999999999999</v>
      </c>
    </row>
    <row r="165" spans="1:31"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f t="shared" si="2"/>
        <v>136.01999999999998</v>
      </c>
      <c r="O165">
        <v>124.4</v>
      </c>
      <c r="P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row>
    <row r="166" spans="1:31"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f t="shared" si="2"/>
        <v>135.60999999999999</v>
      </c>
      <c r="O166">
        <v>128.5</v>
      </c>
      <c r="P166">
        <v>145.80000000000001</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row>
    <row r="167" spans="1:31" x14ac:dyDescent="0.25">
      <c r="A167" t="s">
        <v>30</v>
      </c>
      <c r="B167">
        <v>2017</v>
      </c>
      <c r="C167" t="s">
        <v>41</v>
      </c>
      <c r="D167">
        <v>134.80000000000001</v>
      </c>
      <c r="E167">
        <v>143.1</v>
      </c>
      <c r="F167">
        <v>130</v>
      </c>
      <c r="G167">
        <v>139.4</v>
      </c>
      <c r="H167">
        <v>120.5</v>
      </c>
      <c r="I167">
        <v>148</v>
      </c>
      <c r="J167">
        <v>162.9</v>
      </c>
      <c r="K167">
        <v>137.4</v>
      </c>
      <c r="L167">
        <v>120.8</v>
      </c>
      <c r="M167">
        <v>134.69999999999999</v>
      </c>
      <c r="N167">
        <f t="shared" si="2"/>
        <v>137.16</v>
      </c>
      <c r="O167">
        <v>131.6</v>
      </c>
      <c r="P167">
        <v>148.69999999999999</v>
      </c>
      <c r="Q167">
        <v>140.6</v>
      </c>
      <c r="R167">
        <v>149</v>
      </c>
      <c r="S167">
        <v>145.30000000000001</v>
      </c>
      <c r="T167">
        <v>139.19999999999999</v>
      </c>
      <c r="U167">
        <v>144.5</v>
      </c>
      <c r="V167">
        <v>139.25</v>
      </c>
      <c r="W167">
        <v>136.4</v>
      </c>
      <c r="X167">
        <v>137.30000000000001</v>
      </c>
      <c r="Y167">
        <v>133</v>
      </c>
      <c r="Z167">
        <v>120.3</v>
      </c>
      <c r="AA167">
        <v>131.5</v>
      </c>
      <c r="AB167">
        <v>140.19999999999999</v>
      </c>
      <c r="AC167">
        <v>125.4</v>
      </c>
      <c r="AD167">
        <v>129.69999999999999</v>
      </c>
      <c r="AE167">
        <v>137.80000000000001</v>
      </c>
    </row>
    <row r="168" spans="1:31"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f t="shared" si="2"/>
        <v>136.33999999999997</v>
      </c>
      <c r="O168">
        <v>124.6</v>
      </c>
      <c r="P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row>
    <row r="169" spans="1:31"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f t="shared" si="2"/>
        <v>136.77000000000001</v>
      </c>
      <c r="O169">
        <v>128.69999999999999</v>
      </c>
      <c r="P169">
        <v>146.80000000000001</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row>
    <row r="170" spans="1:31"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f t="shared" si="2"/>
        <v>136.37</v>
      </c>
      <c r="O170">
        <v>131.69999999999999</v>
      </c>
      <c r="P170">
        <v>149.30000000000001</v>
      </c>
      <c r="Q170">
        <v>139.6</v>
      </c>
      <c r="R170">
        <v>149.80000000000001</v>
      </c>
      <c r="S170">
        <v>146.1</v>
      </c>
      <c r="T170">
        <v>139.69999999999999</v>
      </c>
      <c r="U170">
        <v>145.19999999999999</v>
      </c>
      <c r="V170">
        <v>139.25</v>
      </c>
      <c r="W170">
        <v>137.4</v>
      </c>
      <c r="X170">
        <v>137.9</v>
      </c>
      <c r="Y170">
        <v>133.4</v>
      </c>
      <c r="Z170">
        <v>121.2</v>
      </c>
      <c r="AA170">
        <v>132.30000000000001</v>
      </c>
      <c r="AB170">
        <v>139.6</v>
      </c>
      <c r="AC170">
        <v>126.7</v>
      </c>
      <c r="AD170">
        <v>130.30000000000001</v>
      </c>
      <c r="AE170">
        <v>137.6</v>
      </c>
    </row>
    <row r="171" spans="1:31"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f t="shared" si="2"/>
        <v>134.19</v>
      </c>
      <c r="O171">
        <v>124.8</v>
      </c>
      <c r="P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row>
    <row r="172" spans="1:31" x14ac:dyDescent="0.25">
      <c r="A172" t="s">
        <v>34</v>
      </c>
      <c r="B172">
        <v>2017</v>
      </c>
      <c r="C172" t="s">
        <v>42</v>
      </c>
      <c r="D172">
        <v>134.69999999999999</v>
      </c>
      <c r="E172">
        <v>142.4</v>
      </c>
      <c r="F172">
        <v>130.19999999999999</v>
      </c>
      <c r="G172">
        <v>139.6</v>
      </c>
      <c r="H172">
        <v>118.4</v>
      </c>
      <c r="I172">
        <v>143</v>
      </c>
      <c r="J172">
        <v>156.6</v>
      </c>
      <c r="K172">
        <v>132.9</v>
      </c>
      <c r="L172">
        <v>121.5</v>
      </c>
      <c r="M172">
        <v>135.6</v>
      </c>
      <c r="N172">
        <f t="shared" si="2"/>
        <v>135.48999999999998</v>
      </c>
      <c r="O172">
        <v>128.80000000000001</v>
      </c>
      <c r="P172">
        <v>147.30000000000001</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row>
    <row r="173" spans="1:31" x14ac:dyDescent="0.25">
      <c r="A173" t="s">
        <v>30</v>
      </c>
      <c r="B173">
        <v>2017</v>
      </c>
      <c r="C173" t="s">
        <v>43</v>
      </c>
      <c r="D173">
        <v>135.9</v>
      </c>
      <c r="E173">
        <v>141.9</v>
      </c>
      <c r="F173">
        <v>131</v>
      </c>
      <c r="G173">
        <v>141.5</v>
      </c>
      <c r="H173">
        <v>121.4</v>
      </c>
      <c r="I173">
        <v>146.69999999999999</v>
      </c>
      <c r="J173">
        <v>157.1</v>
      </c>
      <c r="K173">
        <v>136.4</v>
      </c>
      <c r="L173">
        <v>121.4</v>
      </c>
      <c r="M173">
        <v>135.6</v>
      </c>
      <c r="N173">
        <f t="shared" si="2"/>
        <v>136.88999999999999</v>
      </c>
      <c r="O173">
        <v>131.30000000000001</v>
      </c>
      <c r="P173">
        <v>150.30000000000001</v>
      </c>
      <c r="Q173">
        <v>140.4</v>
      </c>
      <c r="R173">
        <v>150.5</v>
      </c>
      <c r="S173">
        <v>147.19999999999999</v>
      </c>
      <c r="T173">
        <v>140.6</v>
      </c>
      <c r="U173">
        <v>146.19999999999999</v>
      </c>
      <c r="V173">
        <v>139.25</v>
      </c>
      <c r="W173">
        <v>138.1</v>
      </c>
      <c r="X173">
        <v>138.4</v>
      </c>
      <c r="Y173">
        <v>134.19999999999999</v>
      </c>
      <c r="Z173">
        <v>121</v>
      </c>
      <c r="AA173">
        <v>133</v>
      </c>
      <c r="AB173">
        <v>140.1</v>
      </c>
      <c r="AC173">
        <v>127.4</v>
      </c>
      <c r="AD173">
        <v>130.69999999999999</v>
      </c>
      <c r="AE173">
        <v>138.30000000000001</v>
      </c>
    </row>
    <row r="174" spans="1:31" x14ac:dyDescent="0.25">
      <c r="A174" t="s">
        <v>33</v>
      </c>
      <c r="B174">
        <v>2017</v>
      </c>
      <c r="C174" t="s">
        <v>43</v>
      </c>
      <c r="D174">
        <v>133.9</v>
      </c>
      <c r="E174">
        <v>142.80000000000001</v>
      </c>
      <c r="F174">
        <v>131.4</v>
      </c>
      <c r="G174">
        <v>139.1</v>
      </c>
      <c r="H174">
        <v>114.9</v>
      </c>
      <c r="I174">
        <v>135.6</v>
      </c>
      <c r="J174">
        <v>173.2</v>
      </c>
      <c r="K174">
        <v>124.1</v>
      </c>
      <c r="L174">
        <v>122.6</v>
      </c>
      <c r="M174">
        <v>137.80000000000001</v>
      </c>
      <c r="N174">
        <f t="shared" si="2"/>
        <v>135.54</v>
      </c>
      <c r="O174">
        <v>125.1</v>
      </c>
      <c r="P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row>
    <row r="175" spans="1:31"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f t="shared" si="2"/>
        <v>136.28</v>
      </c>
      <c r="O175">
        <v>128.69999999999999</v>
      </c>
      <c r="P175">
        <v>148.1</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row>
    <row r="176" spans="1:31"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f t="shared" si="2"/>
        <v>139.19999999999999</v>
      </c>
      <c r="O176">
        <v>131.9</v>
      </c>
      <c r="P176">
        <v>151.4</v>
      </c>
      <c r="Q176">
        <v>142.4</v>
      </c>
      <c r="R176">
        <v>152.1</v>
      </c>
      <c r="S176">
        <v>148.19999999999999</v>
      </c>
      <c r="T176">
        <v>141.5</v>
      </c>
      <c r="U176">
        <v>147.30000000000001</v>
      </c>
      <c r="V176">
        <v>139.25</v>
      </c>
      <c r="W176">
        <v>141.1</v>
      </c>
      <c r="X176">
        <v>139.4</v>
      </c>
      <c r="Y176">
        <v>135.80000000000001</v>
      </c>
      <c r="Z176">
        <v>121.6</v>
      </c>
      <c r="AA176">
        <v>133.69999999999999</v>
      </c>
      <c r="AB176">
        <v>141.5</v>
      </c>
      <c r="AC176">
        <v>128.1</v>
      </c>
      <c r="AD176">
        <v>131.69999999999999</v>
      </c>
      <c r="AE176">
        <v>140</v>
      </c>
    </row>
    <row r="177" spans="1:31"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f t="shared" si="2"/>
        <v>138.38</v>
      </c>
      <c r="O177">
        <v>125.4</v>
      </c>
      <c r="P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row>
    <row r="178" spans="1:31"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f t="shared" si="2"/>
        <v>138.80000000000001</v>
      </c>
      <c r="O178">
        <v>129.19999999999999</v>
      </c>
      <c r="P178">
        <v>148.9</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row>
    <row r="179" spans="1:31"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f t="shared" si="2"/>
        <v>138.96</v>
      </c>
      <c r="O179">
        <v>131.1</v>
      </c>
      <c r="P179">
        <v>151.4</v>
      </c>
      <c r="Q179">
        <v>141.5</v>
      </c>
      <c r="R179">
        <v>153.19999999999999</v>
      </c>
      <c r="S179">
        <v>148</v>
      </c>
      <c r="T179">
        <v>141.9</v>
      </c>
      <c r="U179">
        <v>147.19999999999999</v>
      </c>
      <c r="V179">
        <v>139.25</v>
      </c>
      <c r="W179">
        <v>142.6</v>
      </c>
      <c r="X179">
        <v>139.5</v>
      </c>
      <c r="Y179">
        <v>136.1</v>
      </c>
      <c r="Z179">
        <v>122</v>
      </c>
      <c r="AA179">
        <v>133.4</v>
      </c>
      <c r="AB179">
        <v>141.1</v>
      </c>
      <c r="AC179">
        <v>127.8</v>
      </c>
      <c r="AD179">
        <v>131.9</v>
      </c>
      <c r="AE179">
        <v>139.80000000000001</v>
      </c>
    </row>
    <row r="180" spans="1:31" x14ac:dyDescent="0.25">
      <c r="A180" t="s">
        <v>33</v>
      </c>
      <c r="B180">
        <v>2017</v>
      </c>
      <c r="C180" t="s">
        <v>46</v>
      </c>
      <c r="D180">
        <v>134.4</v>
      </c>
      <c r="E180">
        <v>142.6</v>
      </c>
      <c r="F180">
        <v>145.9</v>
      </c>
      <c r="G180">
        <v>139.5</v>
      </c>
      <c r="H180">
        <v>115.9</v>
      </c>
      <c r="I180">
        <v>135</v>
      </c>
      <c r="J180">
        <v>163.19999999999999</v>
      </c>
      <c r="K180">
        <v>119.8</v>
      </c>
      <c r="L180">
        <v>120.7</v>
      </c>
      <c r="M180">
        <v>139.69999999999999</v>
      </c>
      <c r="N180">
        <f t="shared" si="2"/>
        <v>135.67000000000002</v>
      </c>
      <c r="O180">
        <v>125.7</v>
      </c>
      <c r="P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row>
    <row r="181" spans="1:31"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f t="shared" si="2"/>
        <v>137.66999999999999</v>
      </c>
      <c r="O181">
        <v>128.80000000000001</v>
      </c>
      <c r="P181">
        <v>149</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row>
    <row r="182" spans="1:31" x14ac:dyDescent="0.25">
      <c r="A182" t="s">
        <v>30</v>
      </c>
      <c r="B182">
        <v>2018</v>
      </c>
      <c r="C182" t="s">
        <v>31</v>
      </c>
      <c r="D182">
        <v>136.6</v>
      </c>
      <c r="E182">
        <v>144.4</v>
      </c>
      <c r="F182">
        <v>143.80000000000001</v>
      </c>
      <c r="G182">
        <v>142</v>
      </c>
      <c r="H182">
        <v>123.2</v>
      </c>
      <c r="I182">
        <v>147.9</v>
      </c>
      <c r="J182">
        <v>152.1</v>
      </c>
      <c r="K182">
        <v>131.80000000000001</v>
      </c>
      <c r="L182">
        <v>119.5</v>
      </c>
      <c r="M182">
        <v>136</v>
      </c>
      <c r="N182">
        <f t="shared" si="2"/>
        <v>137.72999999999999</v>
      </c>
      <c r="O182">
        <v>131.19999999999999</v>
      </c>
      <c r="P182">
        <v>151.80000000000001</v>
      </c>
      <c r="Q182">
        <v>140.4</v>
      </c>
      <c r="R182">
        <v>153.6</v>
      </c>
      <c r="S182">
        <v>148.30000000000001</v>
      </c>
      <c r="T182">
        <v>142.30000000000001</v>
      </c>
      <c r="U182">
        <v>147.5</v>
      </c>
      <c r="V182">
        <v>139.25</v>
      </c>
      <c r="W182">
        <v>142.30000000000001</v>
      </c>
      <c r="X182">
        <v>139.80000000000001</v>
      </c>
      <c r="Y182">
        <v>136</v>
      </c>
      <c r="Z182">
        <v>122.7</v>
      </c>
      <c r="AA182">
        <v>134.30000000000001</v>
      </c>
      <c r="AB182">
        <v>141.6</v>
      </c>
      <c r="AC182">
        <v>128.6</v>
      </c>
      <c r="AD182">
        <v>132.30000000000001</v>
      </c>
      <c r="AE182">
        <v>139.30000000000001</v>
      </c>
    </row>
    <row r="183" spans="1:31" x14ac:dyDescent="0.25">
      <c r="A183" t="s">
        <v>33</v>
      </c>
      <c r="B183">
        <v>2018</v>
      </c>
      <c r="C183" t="s">
        <v>31</v>
      </c>
      <c r="D183">
        <v>134.6</v>
      </c>
      <c r="E183">
        <v>143.69999999999999</v>
      </c>
      <c r="F183">
        <v>143.6</v>
      </c>
      <c r="G183">
        <v>139.6</v>
      </c>
      <c r="H183">
        <v>116.4</v>
      </c>
      <c r="I183">
        <v>133.80000000000001</v>
      </c>
      <c r="J183">
        <v>150.5</v>
      </c>
      <c r="K183">
        <v>118.4</v>
      </c>
      <c r="L183">
        <v>117.3</v>
      </c>
      <c r="M183">
        <v>140.5</v>
      </c>
      <c r="N183">
        <f t="shared" si="2"/>
        <v>133.84</v>
      </c>
      <c r="O183">
        <v>125.9</v>
      </c>
      <c r="P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row>
    <row r="184" spans="1:31"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f t="shared" si="2"/>
        <v>136.22</v>
      </c>
      <c r="O184">
        <v>129</v>
      </c>
      <c r="P184">
        <v>149.5</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row>
    <row r="185" spans="1:31" x14ac:dyDescent="0.25">
      <c r="A185" t="s">
        <v>30</v>
      </c>
      <c r="B185">
        <v>2018</v>
      </c>
      <c r="C185" t="s">
        <v>35</v>
      </c>
      <c r="D185">
        <v>136.4</v>
      </c>
      <c r="E185">
        <v>143.69999999999999</v>
      </c>
      <c r="F185">
        <v>140.6</v>
      </c>
      <c r="G185">
        <v>141.5</v>
      </c>
      <c r="H185">
        <v>122.9</v>
      </c>
      <c r="I185">
        <v>149.4</v>
      </c>
      <c r="J185">
        <v>142.4</v>
      </c>
      <c r="K185">
        <v>130.19999999999999</v>
      </c>
      <c r="L185">
        <v>117.9</v>
      </c>
      <c r="M185">
        <v>135.6</v>
      </c>
      <c r="N185">
        <f t="shared" si="2"/>
        <v>136.06</v>
      </c>
      <c r="O185">
        <v>130.5</v>
      </c>
      <c r="P185">
        <v>151.69999999999999</v>
      </c>
      <c r="Q185">
        <v>138.69999999999999</v>
      </c>
      <c r="R185">
        <v>153.30000000000001</v>
      </c>
      <c r="S185">
        <v>148.69999999999999</v>
      </c>
      <c r="T185">
        <v>142.4</v>
      </c>
      <c r="U185">
        <v>147.80000000000001</v>
      </c>
      <c r="V185">
        <v>139.25</v>
      </c>
      <c r="W185">
        <v>142.4</v>
      </c>
      <c r="X185">
        <v>139.9</v>
      </c>
      <c r="Y185">
        <v>136.19999999999999</v>
      </c>
      <c r="Z185">
        <v>123.3</v>
      </c>
      <c r="AA185">
        <v>134.30000000000001</v>
      </c>
      <c r="AB185">
        <v>141.5</v>
      </c>
      <c r="AC185">
        <v>128.80000000000001</v>
      </c>
      <c r="AD185">
        <v>132.5</v>
      </c>
      <c r="AE185">
        <v>138.5</v>
      </c>
    </row>
    <row r="186" spans="1:31" x14ac:dyDescent="0.25">
      <c r="A186" t="s">
        <v>33</v>
      </c>
      <c r="B186">
        <v>2018</v>
      </c>
      <c r="C186" t="s">
        <v>35</v>
      </c>
      <c r="D186">
        <v>134.80000000000001</v>
      </c>
      <c r="E186">
        <v>143</v>
      </c>
      <c r="F186">
        <v>139.9</v>
      </c>
      <c r="G186">
        <v>139.9</v>
      </c>
      <c r="H186">
        <v>116.2</v>
      </c>
      <c r="I186">
        <v>135.5</v>
      </c>
      <c r="J186">
        <v>136.9</v>
      </c>
      <c r="K186">
        <v>117</v>
      </c>
      <c r="L186">
        <v>115.4</v>
      </c>
      <c r="M186">
        <v>140.69999999999999</v>
      </c>
      <c r="N186">
        <f t="shared" si="2"/>
        <v>131.93</v>
      </c>
      <c r="O186">
        <v>125.9</v>
      </c>
      <c r="P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row>
    <row r="187" spans="1:31" x14ac:dyDescent="0.25">
      <c r="A187" t="s">
        <v>34</v>
      </c>
      <c r="B187">
        <v>2018</v>
      </c>
      <c r="C187" t="s">
        <v>35</v>
      </c>
      <c r="D187">
        <v>135.9</v>
      </c>
      <c r="E187">
        <v>143.5</v>
      </c>
      <c r="F187">
        <v>140.30000000000001</v>
      </c>
      <c r="G187">
        <v>140.9</v>
      </c>
      <c r="H187">
        <v>120.4</v>
      </c>
      <c r="I187">
        <v>142.9</v>
      </c>
      <c r="J187">
        <v>140.5</v>
      </c>
      <c r="K187">
        <v>125.8</v>
      </c>
      <c r="L187">
        <v>117.1</v>
      </c>
      <c r="M187">
        <v>137.30000000000001</v>
      </c>
      <c r="N187">
        <f t="shared" si="2"/>
        <v>134.45999999999998</v>
      </c>
      <c r="O187">
        <v>128.6</v>
      </c>
      <c r="P187">
        <v>149.6</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row>
    <row r="188" spans="1:31"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f t="shared" si="2"/>
        <v>135.94</v>
      </c>
      <c r="O188">
        <v>131.19999999999999</v>
      </c>
      <c r="P188">
        <v>152.80000000000001</v>
      </c>
      <c r="Q188">
        <v>138.6</v>
      </c>
      <c r="R188">
        <v>155.1</v>
      </c>
      <c r="S188">
        <v>149.19999999999999</v>
      </c>
      <c r="T188">
        <v>143</v>
      </c>
      <c r="U188">
        <v>148.30000000000001</v>
      </c>
      <c r="V188">
        <v>139.25</v>
      </c>
      <c r="W188">
        <v>142.6</v>
      </c>
      <c r="X188">
        <v>139.9</v>
      </c>
      <c r="Y188">
        <v>136.69999999999999</v>
      </c>
      <c r="Z188">
        <v>124.6</v>
      </c>
      <c r="AA188">
        <v>135.1</v>
      </c>
      <c r="AB188">
        <v>142.69999999999999</v>
      </c>
      <c r="AC188">
        <v>129.30000000000001</v>
      </c>
      <c r="AD188">
        <v>133.30000000000001</v>
      </c>
      <c r="AE188">
        <v>138.69999999999999</v>
      </c>
    </row>
    <row r="189" spans="1:31" x14ac:dyDescent="0.25">
      <c r="A189" t="s">
        <v>33</v>
      </c>
      <c r="B189">
        <v>2018</v>
      </c>
      <c r="C189" t="s">
        <v>36</v>
      </c>
      <c r="D189">
        <v>135</v>
      </c>
      <c r="E189">
        <v>143.1</v>
      </c>
      <c r="F189">
        <v>135.5</v>
      </c>
      <c r="G189">
        <v>139.9</v>
      </c>
      <c r="H189">
        <v>116.5</v>
      </c>
      <c r="I189">
        <v>138.5</v>
      </c>
      <c r="J189">
        <v>128</v>
      </c>
      <c r="K189">
        <v>115.5</v>
      </c>
      <c r="L189">
        <v>114.2</v>
      </c>
      <c r="M189">
        <v>140.69999999999999</v>
      </c>
      <c r="N189">
        <f t="shared" si="2"/>
        <v>130.69</v>
      </c>
      <c r="O189">
        <v>126.2</v>
      </c>
      <c r="P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row>
    <row r="190" spans="1:31"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f t="shared" si="2"/>
        <v>133.93</v>
      </c>
      <c r="O190">
        <v>129.1</v>
      </c>
      <c r="P190">
        <v>150.4</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row>
    <row r="191" spans="1:31" x14ac:dyDescent="0.25">
      <c r="A191" t="s">
        <v>30</v>
      </c>
      <c r="B191">
        <v>2018</v>
      </c>
      <c r="C191" t="s">
        <v>37</v>
      </c>
      <c r="D191">
        <v>137.1</v>
      </c>
      <c r="E191">
        <v>144.5</v>
      </c>
      <c r="F191">
        <v>135.9</v>
      </c>
      <c r="G191">
        <v>142.4</v>
      </c>
      <c r="H191">
        <v>123.5</v>
      </c>
      <c r="I191">
        <v>156.4</v>
      </c>
      <c r="J191">
        <v>135.1</v>
      </c>
      <c r="K191">
        <v>128.4</v>
      </c>
      <c r="L191">
        <v>115.2</v>
      </c>
      <c r="M191">
        <v>137.19999999999999</v>
      </c>
      <c r="N191">
        <f t="shared" si="2"/>
        <v>135.57</v>
      </c>
      <c r="O191">
        <v>131.9</v>
      </c>
      <c r="P191">
        <v>153.80000000000001</v>
      </c>
      <c r="Q191">
        <v>138.6</v>
      </c>
      <c r="R191">
        <v>156.1</v>
      </c>
      <c r="S191">
        <v>150.1</v>
      </c>
      <c r="T191">
        <v>143.30000000000001</v>
      </c>
      <c r="U191">
        <v>149.1</v>
      </c>
      <c r="V191">
        <v>139.25</v>
      </c>
      <c r="W191">
        <v>143.80000000000001</v>
      </c>
      <c r="X191">
        <v>140.9</v>
      </c>
      <c r="Y191">
        <v>137.6</v>
      </c>
      <c r="Z191">
        <v>125.3</v>
      </c>
      <c r="AA191">
        <v>136</v>
      </c>
      <c r="AB191">
        <v>143.69999999999999</v>
      </c>
      <c r="AC191">
        <v>130.4</v>
      </c>
      <c r="AD191">
        <v>134.19999999999999</v>
      </c>
      <c r="AE191">
        <v>139.1</v>
      </c>
    </row>
    <row r="192" spans="1:31"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f t="shared" si="2"/>
        <v>130.95000000000002</v>
      </c>
      <c r="O192">
        <v>126.5</v>
      </c>
      <c r="P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row>
    <row r="193" spans="1:31" x14ac:dyDescent="0.25">
      <c r="A193" t="s">
        <v>34</v>
      </c>
      <c r="B193">
        <v>2018</v>
      </c>
      <c r="C193" t="s">
        <v>37</v>
      </c>
      <c r="D193">
        <v>136.4</v>
      </c>
      <c r="E193">
        <v>144.4</v>
      </c>
      <c r="F193">
        <v>133.9</v>
      </c>
      <c r="G193">
        <v>141.6</v>
      </c>
      <c r="H193">
        <v>121</v>
      </c>
      <c r="I193">
        <v>153.5</v>
      </c>
      <c r="J193">
        <v>132.6</v>
      </c>
      <c r="K193">
        <v>123.5</v>
      </c>
      <c r="L193">
        <v>113.7</v>
      </c>
      <c r="M193">
        <v>138.19999999999999</v>
      </c>
      <c r="N193">
        <f t="shared" si="2"/>
        <v>133.88000000000002</v>
      </c>
      <c r="O193">
        <v>129.6</v>
      </c>
      <c r="P193">
        <v>151.19999999999999</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row>
    <row r="194" spans="1:31" x14ac:dyDescent="0.25">
      <c r="A194" t="s">
        <v>30</v>
      </c>
      <c r="B194">
        <v>2018</v>
      </c>
      <c r="C194" t="s">
        <v>38</v>
      </c>
      <c r="D194">
        <v>137.4</v>
      </c>
      <c r="E194">
        <v>145.69999999999999</v>
      </c>
      <c r="F194">
        <v>135.5</v>
      </c>
      <c r="G194">
        <v>142.9</v>
      </c>
      <c r="H194">
        <v>123.6</v>
      </c>
      <c r="I194">
        <v>157.5</v>
      </c>
      <c r="J194">
        <v>137.80000000000001</v>
      </c>
      <c r="K194">
        <v>127.2</v>
      </c>
      <c r="L194">
        <v>111.8</v>
      </c>
      <c r="M194">
        <v>137.4</v>
      </c>
      <c r="N194">
        <f t="shared" si="2"/>
        <v>135.68</v>
      </c>
      <c r="O194">
        <v>132.19999999999999</v>
      </c>
      <c r="P194">
        <v>154.30000000000001</v>
      </c>
      <c r="Q194">
        <v>139.1</v>
      </c>
      <c r="R194">
        <v>157</v>
      </c>
      <c r="S194">
        <v>150.80000000000001</v>
      </c>
      <c r="T194">
        <v>144.1</v>
      </c>
      <c r="U194">
        <v>149.80000000000001</v>
      </c>
      <c r="V194">
        <v>139.25</v>
      </c>
      <c r="W194">
        <v>144.30000000000001</v>
      </c>
      <c r="X194">
        <v>141.80000000000001</v>
      </c>
      <c r="Y194">
        <v>138.4</v>
      </c>
      <c r="Z194">
        <v>126.4</v>
      </c>
      <c r="AA194">
        <v>136.80000000000001</v>
      </c>
      <c r="AB194">
        <v>144.4</v>
      </c>
      <c r="AC194">
        <v>131.19999999999999</v>
      </c>
      <c r="AD194">
        <v>135.1</v>
      </c>
      <c r="AE194">
        <v>139.80000000000001</v>
      </c>
    </row>
    <row r="195" spans="1:31"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f t="shared" ref="N195:N258" si="3">AVERAGE(D195:M195)</f>
        <v>131.11999999999998</v>
      </c>
      <c r="O195">
        <v>126.6</v>
      </c>
      <c r="P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row>
    <row r="196" spans="1:31" x14ac:dyDescent="0.25">
      <c r="A196" t="s">
        <v>34</v>
      </c>
      <c r="B196">
        <v>2018</v>
      </c>
      <c r="C196" t="s">
        <v>38</v>
      </c>
      <c r="D196">
        <v>136.6</v>
      </c>
      <c r="E196">
        <v>146.6</v>
      </c>
      <c r="F196">
        <v>133.6</v>
      </c>
      <c r="G196">
        <v>142.1</v>
      </c>
      <c r="H196">
        <v>121</v>
      </c>
      <c r="I196">
        <v>154.6</v>
      </c>
      <c r="J196">
        <v>135.6</v>
      </c>
      <c r="K196">
        <v>122.3</v>
      </c>
      <c r="L196">
        <v>109.6</v>
      </c>
      <c r="M196">
        <v>138.1</v>
      </c>
      <c r="N196">
        <f t="shared" si="3"/>
        <v>134.01</v>
      </c>
      <c r="O196">
        <v>129.9</v>
      </c>
      <c r="P196">
        <v>151.69999999999999</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row>
    <row r="197" spans="1:31" x14ac:dyDescent="0.25">
      <c r="A197" t="s">
        <v>30</v>
      </c>
      <c r="B197">
        <v>2018</v>
      </c>
      <c r="C197" t="s">
        <v>39</v>
      </c>
      <c r="D197">
        <v>137.6</v>
      </c>
      <c r="E197">
        <v>148.1</v>
      </c>
      <c r="F197">
        <v>136.69999999999999</v>
      </c>
      <c r="G197">
        <v>143.19999999999999</v>
      </c>
      <c r="H197">
        <v>124</v>
      </c>
      <c r="I197">
        <v>154.1</v>
      </c>
      <c r="J197">
        <v>143.5</v>
      </c>
      <c r="K197">
        <v>126</v>
      </c>
      <c r="L197">
        <v>112.4</v>
      </c>
      <c r="M197">
        <v>137.6</v>
      </c>
      <c r="N197">
        <f t="shared" si="3"/>
        <v>136.32</v>
      </c>
      <c r="O197">
        <v>132.80000000000001</v>
      </c>
      <c r="P197">
        <v>154.30000000000001</v>
      </c>
      <c r="Q197">
        <v>140</v>
      </c>
      <c r="R197">
        <v>157.30000000000001</v>
      </c>
      <c r="S197">
        <v>151.30000000000001</v>
      </c>
      <c r="T197">
        <v>144.69999999999999</v>
      </c>
      <c r="U197">
        <v>150.30000000000001</v>
      </c>
      <c r="V197">
        <v>139.25</v>
      </c>
      <c r="W197">
        <v>145.1</v>
      </c>
      <c r="X197">
        <v>142.19999999999999</v>
      </c>
      <c r="Y197">
        <v>138.4</v>
      </c>
      <c r="Z197">
        <v>127.4</v>
      </c>
      <c r="AA197">
        <v>137.80000000000001</v>
      </c>
      <c r="AB197">
        <v>145.1</v>
      </c>
      <c r="AC197">
        <v>131.4</v>
      </c>
      <c r="AD197">
        <v>135.6</v>
      </c>
      <c r="AE197">
        <v>140.5</v>
      </c>
    </row>
    <row r="198" spans="1:31"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f t="shared" si="3"/>
        <v>133.32</v>
      </c>
      <c r="O198">
        <v>126.7</v>
      </c>
      <c r="P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row>
    <row r="199" spans="1:31"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f t="shared" si="3"/>
        <v>135.26000000000002</v>
      </c>
      <c r="O199">
        <v>130.30000000000001</v>
      </c>
      <c r="P199">
        <v>151.80000000000001</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row>
    <row r="200" spans="1:31"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f t="shared" si="3"/>
        <v>138.09000000000003</v>
      </c>
      <c r="O200">
        <v>132.80000000000001</v>
      </c>
      <c r="P200">
        <v>154.80000000000001</v>
      </c>
      <c r="Q200">
        <v>142</v>
      </c>
      <c r="R200">
        <v>156.1</v>
      </c>
      <c r="S200">
        <v>151.5</v>
      </c>
      <c r="T200">
        <v>145.1</v>
      </c>
      <c r="U200">
        <v>150.6</v>
      </c>
      <c r="V200">
        <v>139.25</v>
      </c>
      <c r="W200">
        <v>146.80000000000001</v>
      </c>
      <c r="X200">
        <v>143.1</v>
      </c>
      <c r="Y200">
        <v>139</v>
      </c>
      <c r="Z200">
        <v>127.5</v>
      </c>
      <c r="AA200">
        <v>138.4</v>
      </c>
      <c r="AB200">
        <v>145.80000000000001</v>
      </c>
      <c r="AC200">
        <v>131.4</v>
      </c>
      <c r="AD200">
        <v>136</v>
      </c>
      <c r="AE200">
        <v>141.80000000000001</v>
      </c>
    </row>
    <row r="201" spans="1:31"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f t="shared" si="3"/>
        <v>135.45999999999998</v>
      </c>
      <c r="O201">
        <v>126.8</v>
      </c>
      <c r="P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row>
    <row r="202" spans="1:31" x14ac:dyDescent="0.25">
      <c r="A202" t="s">
        <v>34</v>
      </c>
      <c r="B202">
        <v>2018</v>
      </c>
      <c r="C202" t="s">
        <v>40</v>
      </c>
      <c r="D202">
        <v>137.5</v>
      </c>
      <c r="E202">
        <v>149.1</v>
      </c>
      <c r="F202">
        <v>139.19999999999999</v>
      </c>
      <c r="G202">
        <v>142.5</v>
      </c>
      <c r="H202">
        <v>121.4</v>
      </c>
      <c r="I202">
        <v>151.6</v>
      </c>
      <c r="J202">
        <v>155.9</v>
      </c>
      <c r="K202">
        <v>121.7</v>
      </c>
      <c r="L202">
        <v>113.5</v>
      </c>
      <c r="M202">
        <v>138.9</v>
      </c>
      <c r="N202">
        <f t="shared" si="3"/>
        <v>137.13</v>
      </c>
      <c r="O202">
        <v>130.30000000000001</v>
      </c>
      <c r="P202">
        <v>152.30000000000001</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row>
    <row r="203" spans="1:31"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f t="shared" si="3"/>
        <v>138.70999999999998</v>
      </c>
      <c r="O203">
        <v>133.80000000000001</v>
      </c>
      <c r="P203">
        <v>155.19999999999999</v>
      </c>
      <c r="Q203">
        <v>142.69999999999999</v>
      </c>
      <c r="R203">
        <v>156.4</v>
      </c>
      <c r="S203">
        <v>152.1</v>
      </c>
      <c r="T203">
        <v>145.80000000000001</v>
      </c>
      <c r="U203">
        <v>151.30000000000001</v>
      </c>
      <c r="V203">
        <v>139.25</v>
      </c>
      <c r="W203">
        <v>147.69999999999999</v>
      </c>
      <c r="X203">
        <v>143.80000000000001</v>
      </c>
      <c r="Y203">
        <v>139.4</v>
      </c>
      <c r="Z203">
        <v>128.30000000000001</v>
      </c>
      <c r="AA203">
        <v>138.6</v>
      </c>
      <c r="AB203">
        <v>146.9</v>
      </c>
      <c r="AC203">
        <v>131.30000000000001</v>
      </c>
      <c r="AD203">
        <v>136.6</v>
      </c>
      <c r="AE203">
        <v>142.5</v>
      </c>
    </row>
    <row r="204" spans="1:31"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f t="shared" si="3"/>
        <v>134.96999999999997</v>
      </c>
      <c r="O204">
        <v>127.4</v>
      </c>
      <c r="P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row>
    <row r="205" spans="1:31" x14ac:dyDescent="0.25">
      <c r="A205" t="s">
        <v>34</v>
      </c>
      <c r="B205">
        <v>2018</v>
      </c>
      <c r="C205" t="s">
        <v>41</v>
      </c>
      <c r="D205">
        <v>138.30000000000001</v>
      </c>
      <c r="E205">
        <v>148</v>
      </c>
      <c r="F205">
        <v>138.1</v>
      </c>
      <c r="G205">
        <v>142.6</v>
      </c>
      <c r="H205">
        <v>122.2</v>
      </c>
      <c r="I205">
        <v>150.6</v>
      </c>
      <c r="J205">
        <v>156.6</v>
      </c>
      <c r="K205">
        <v>122.4</v>
      </c>
      <c r="L205">
        <v>114.7</v>
      </c>
      <c r="M205">
        <v>139.4</v>
      </c>
      <c r="N205">
        <f t="shared" si="3"/>
        <v>137.29000000000002</v>
      </c>
      <c r="O205">
        <v>131.1</v>
      </c>
      <c r="P205">
        <v>153</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row>
    <row r="206" spans="1:31"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f t="shared" si="3"/>
        <v>136.95000000000002</v>
      </c>
      <c r="O206">
        <v>133.1</v>
      </c>
      <c r="P206">
        <v>155.9</v>
      </c>
      <c r="Q206">
        <v>141.30000000000001</v>
      </c>
      <c r="R206">
        <v>157.69999999999999</v>
      </c>
      <c r="S206">
        <v>152.1</v>
      </c>
      <c r="T206">
        <v>146.1</v>
      </c>
      <c r="U206">
        <v>151.30000000000001</v>
      </c>
      <c r="V206">
        <v>139.25</v>
      </c>
      <c r="W206">
        <v>149</v>
      </c>
      <c r="X206">
        <v>144</v>
      </c>
      <c r="Y206">
        <v>140</v>
      </c>
      <c r="Z206">
        <v>129.9</v>
      </c>
      <c r="AA206">
        <v>140</v>
      </c>
      <c r="AB206">
        <v>147.6</v>
      </c>
      <c r="AC206">
        <v>132</v>
      </c>
      <c r="AD206">
        <v>137.4</v>
      </c>
      <c r="AE206">
        <v>142.1</v>
      </c>
    </row>
    <row r="207" spans="1:31"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f t="shared" si="3"/>
        <v>133.05000000000001</v>
      </c>
      <c r="O207">
        <v>127.7</v>
      </c>
      <c r="P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row>
    <row r="208" spans="1:31" x14ac:dyDescent="0.25">
      <c r="A208" t="s">
        <v>34</v>
      </c>
      <c r="B208">
        <v>2018</v>
      </c>
      <c r="C208" t="s">
        <v>42</v>
      </c>
      <c r="D208">
        <v>138.6</v>
      </c>
      <c r="E208">
        <v>145.80000000000001</v>
      </c>
      <c r="F208">
        <v>135.1</v>
      </c>
      <c r="G208">
        <v>142.9</v>
      </c>
      <c r="H208">
        <v>122.1</v>
      </c>
      <c r="I208">
        <v>145.4</v>
      </c>
      <c r="J208">
        <v>150</v>
      </c>
      <c r="K208">
        <v>121.4</v>
      </c>
      <c r="L208">
        <v>113.7</v>
      </c>
      <c r="M208">
        <v>139.5</v>
      </c>
      <c r="N208">
        <f t="shared" si="3"/>
        <v>135.44999999999999</v>
      </c>
      <c r="O208">
        <v>130.80000000000001</v>
      </c>
      <c r="P208">
        <v>153.80000000000001</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row>
    <row r="209" spans="1:31" x14ac:dyDescent="0.25">
      <c r="A209" t="s">
        <v>30</v>
      </c>
      <c r="B209">
        <v>2018</v>
      </c>
      <c r="C209" t="s">
        <v>43</v>
      </c>
      <c r="D209">
        <v>139.30000000000001</v>
      </c>
      <c r="E209">
        <v>147.6</v>
      </c>
      <c r="F209">
        <v>134.6</v>
      </c>
      <c r="G209">
        <v>141.9</v>
      </c>
      <c r="H209">
        <v>123.5</v>
      </c>
      <c r="I209">
        <v>144.5</v>
      </c>
      <c r="J209">
        <v>147.6</v>
      </c>
      <c r="K209">
        <v>121.4</v>
      </c>
      <c r="L209">
        <v>112.3</v>
      </c>
      <c r="M209">
        <v>139.5</v>
      </c>
      <c r="N209">
        <f t="shared" si="3"/>
        <v>135.22</v>
      </c>
      <c r="O209">
        <v>134.6</v>
      </c>
      <c r="P209">
        <v>155.19999999999999</v>
      </c>
      <c r="Q209">
        <v>140.19999999999999</v>
      </c>
      <c r="R209">
        <v>159.6</v>
      </c>
      <c r="S209">
        <v>150.69999999999999</v>
      </c>
      <c r="T209">
        <v>144.5</v>
      </c>
      <c r="U209">
        <v>149.80000000000001</v>
      </c>
      <c r="V209">
        <v>139.25</v>
      </c>
      <c r="W209">
        <v>149.69999999999999</v>
      </c>
      <c r="X209">
        <v>147.5</v>
      </c>
      <c r="Y209">
        <v>144.80000000000001</v>
      </c>
      <c r="Z209">
        <v>130.80000000000001</v>
      </c>
      <c r="AA209">
        <v>140.1</v>
      </c>
      <c r="AB209">
        <v>148</v>
      </c>
      <c r="AC209">
        <v>134.4</v>
      </c>
      <c r="AD209">
        <v>139.80000000000001</v>
      </c>
      <c r="AE209">
        <v>142.19999999999999</v>
      </c>
    </row>
    <row r="210" spans="1:31" x14ac:dyDescent="0.25">
      <c r="A210" t="s">
        <v>33</v>
      </c>
      <c r="B210">
        <v>2018</v>
      </c>
      <c r="C210" t="s">
        <v>43</v>
      </c>
      <c r="D210">
        <v>137.6</v>
      </c>
      <c r="E210">
        <v>144.9</v>
      </c>
      <c r="F210">
        <v>133.5</v>
      </c>
      <c r="G210">
        <v>141.5</v>
      </c>
      <c r="H210">
        <v>118</v>
      </c>
      <c r="I210">
        <v>139.5</v>
      </c>
      <c r="J210">
        <v>153</v>
      </c>
      <c r="K210">
        <v>113.2</v>
      </c>
      <c r="L210">
        <v>112.8</v>
      </c>
      <c r="M210">
        <v>141.1</v>
      </c>
      <c r="N210">
        <f t="shared" si="3"/>
        <v>133.51</v>
      </c>
      <c r="O210">
        <v>127.6</v>
      </c>
      <c r="P210">
        <v>152</v>
      </c>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row>
    <row r="211" spans="1:31" x14ac:dyDescent="0.25">
      <c r="A211" t="s">
        <v>34</v>
      </c>
      <c r="B211">
        <v>2018</v>
      </c>
      <c r="C211" t="s">
        <v>43</v>
      </c>
      <c r="D211">
        <v>137.4</v>
      </c>
      <c r="E211">
        <v>149.5</v>
      </c>
      <c r="F211">
        <v>137.30000000000001</v>
      </c>
      <c r="G211">
        <v>141.9</v>
      </c>
      <c r="H211">
        <v>121.1</v>
      </c>
      <c r="I211">
        <v>142.5</v>
      </c>
      <c r="J211">
        <v>146.69999999999999</v>
      </c>
      <c r="K211">
        <v>119.1</v>
      </c>
      <c r="L211">
        <v>111.9</v>
      </c>
      <c r="M211">
        <v>141</v>
      </c>
      <c r="N211">
        <f t="shared" si="3"/>
        <v>134.84</v>
      </c>
      <c r="O211">
        <v>133.6</v>
      </c>
      <c r="P211">
        <v>154.5</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row>
    <row r="212" spans="1:31" x14ac:dyDescent="0.25">
      <c r="A212" t="s">
        <v>30</v>
      </c>
      <c r="B212">
        <v>2018</v>
      </c>
      <c r="C212" t="s">
        <v>45</v>
      </c>
      <c r="D212">
        <v>137.1</v>
      </c>
      <c r="E212">
        <v>150.80000000000001</v>
      </c>
      <c r="F212">
        <v>136.69999999999999</v>
      </c>
      <c r="G212">
        <v>141.9</v>
      </c>
      <c r="H212">
        <v>122.8</v>
      </c>
      <c r="I212">
        <v>143.9</v>
      </c>
      <c r="J212">
        <v>147.5</v>
      </c>
      <c r="K212">
        <v>121</v>
      </c>
      <c r="L212">
        <v>111.6</v>
      </c>
      <c r="M212">
        <v>140.6</v>
      </c>
      <c r="N212">
        <f t="shared" si="3"/>
        <v>135.38999999999996</v>
      </c>
      <c r="O212">
        <v>137.5</v>
      </c>
      <c r="P212">
        <v>156.1</v>
      </c>
      <c r="Q212">
        <v>140</v>
      </c>
      <c r="R212">
        <v>161.9</v>
      </c>
      <c r="S212">
        <v>151.69999999999999</v>
      </c>
      <c r="T212">
        <v>145.5</v>
      </c>
      <c r="U212">
        <v>150.80000000000001</v>
      </c>
      <c r="V212">
        <v>139.25</v>
      </c>
      <c r="W212">
        <v>150.30000000000001</v>
      </c>
      <c r="X212">
        <v>148</v>
      </c>
      <c r="Y212">
        <v>145.4</v>
      </c>
      <c r="Z212">
        <v>130.30000000000001</v>
      </c>
      <c r="AA212">
        <v>143.1</v>
      </c>
      <c r="AB212">
        <v>150.19999999999999</v>
      </c>
      <c r="AC212">
        <v>133.1</v>
      </c>
      <c r="AD212">
        <v>140.1</v>
      </c>
      <c r="AE212">
        <v>142.4</v>
      </c>
    </row>
    <row r="213" spans="1:31"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f t="shared" si="3"/>
        <v>133.78</v>
      </c>
      <c r="O213">
        <v>128</v>
      </c>
      <c r="P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row>
    <row r="214" spans="1:31"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f t="shared" si="3"/>
        <v>134.80000000000001</v>
      </c>
      <c r="O214">
        <v>133.5</v>
      </c>
      <c r="P214">
        <v>154.5</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row>
    <row r="215" spans="1:31" x14ac:dyDescent="0.25">
      <c r="A215" t="s">
        <v>30</v>
      </c>
      <c r="B215">
        <v>2018</v>
      </c>
      <c r="C215" t="s">
        <v>46</v>
      </c>
      <c r="D215">
        <v>137.1</v>
      </c>
      <c r="E215">
        <v>151.9</v>
      </c>
      <c r="F215">
        <v>137.4</v>
      </c>
      <c r="G215">
        <v>142.4</v>
      </c>
      <c r="H215">
        <v>124.2</v>
      </c>
      <c r="I215">
        <v>140.19999999999999</v>
      </c>
      <c r="J215">
        <v>136.6</v>
      </c>
      <c r="K215">
        <v>120.9</v>
      </c>
      <c r="L215">
        <v>109.9</v>
      </c>
      <c r="M215">
        <v>140.19999999999999</v>
      </c>
      <c r="N215">
        <f t="shared" si="3"/>
        <v>134.08000000000001</v>
      </c>
      <c r="O215">
        <v>137.80000000000001</v>
      </c>
      <c r="P215">
        <v>156</v>
      </c>
      <c r="Q215">
        <v>138.5</v>
      </c>
      <c r="R215">
        <v>162.4</v>
      </c>
      <c r="S215">
        <v>151.6</v>
      </c>
      <c r="T215">
        <v>145.9</v>
      </c>
      <c r="U215">
        <v>150.80000000000001</v>
      </c>
      <c r="V215">
        <v>139.25</v>
      </c>
      <c r="W215">
        <v>149</v>
      </c>
      <c r="X215">
        <v>149.5</v>
      </c>
      <c r="Y215">
        <v>149.6</v>
      </c>
      <c r="Z215">
        <v>128.9</v>
      </c>
      <c r="AA215">
        <v>143.30000000000001</v>
      </c>
      <c r="AB215">
        <v>155.1</v>
      </c>
      <c r="AC215">
        <v>133.19999999999999</v>
      </c>
      <c r="AD215">
        <v>141.6</v>
      </c>
      <c r="AE215">
        <v>141.9</v>
      </c>
    </row>
    <row r="216" spans="1:31" x14ac:dyDescent="0.25">
      <c r="A216" t="s">
        <v>33</v>
      </c>
      <c r="B216">
        <v>2018</v>
      </c>
      <c r="C216" t="s">
        <v>46</v>
      </c>
      <c r="D216">
        <v>138.5</v>
      </c>
      <c r="E216">
        <v>147.80000000000001</v>
      </c>
      <c r="F216">
        <v>141.1</v>
      </c>
      <c r="G216">
        <v>141.6</v>
      </c>
      <c r="H216">
        <v>118.1</v>
      </c>
      <c r="I216">
        <v>138.5</v>
      </c>
      <c r="J216">
        <v>132.4</v>
      </c>
      <c r="K216">
        <v>117.5</v>
      </c>
      <c r="L216">
        <v>111</v>
      </c>
      <c r="M216">
        <v>141.5</v>
      </c>
      <c r="N216">
        <f t="shared" si="3"/>
        <v>132.80000000000001</v>
      </c>
      <c r="O216">
        <v>128.1</v>
      </c>
      <c r="P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row>
    <row r="217" spans="1:31" x14ac:dyDescent="0.25">
      <c r="A217" t="s">
        <v>34</v>
      </c>
      <c r="B217">
        <v>2018</v>
      </c>
      <c r="C217" t="s">
        <v>46</v>
      </c>
      <c r="D217">
        <v>137.5</v>
      </c>
      <c r="E217">
        <v>150.5</v>
      </c>
      <c r="F217">
        <v>138.80000000000001</v>
      </c>
      <c r="G217">
        <v>142.1</v>
      </c>
      <c r="H217">
        <v>122</v>
      </c>
      <c r="I217">
        <v>139.4</v>
      </c>
      <c r="J217">
        <v>135.19999999999999</v>
      </c>
      <c r="K217">
        <v>119.8</v>
      </c>
      <c r="L217">
        <v>110.3</v>
      </c>
      <c r="M217">
        <v>140.6</v>
      </c>
      <c r="N217">
        <f t="shared" si="3"/>
        <v>133.61999999999998</v>
      </c>
      <c r="O217">
        <v>133.80000000000001</v>
      </c>
      <c r="P217">
        <v>154.6</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row>
    <row r="218" spans="1:31" x14ac:dyDescent="0.25">
      <c r="A218" t="s">
        <v>30</v>
      </c>
      <c r="B218">
        <v>2019</v>
      </c>
      <c r="C218" t="s">
        <v>31</v>
      </c>
      <c r="D218">
        <v>136.6</v>
      </c>
      <c r="E218">
        <v>152.5</v>
      </c>
      <c r="F218">
        <v>138.19999999999999</v>
      </c>
      <c r="G218">
        <v>142.4</v>
      </c>
      <c r="H218">
        <v>123.9</v>
      </c>
      <c r="I218">
        <v>135.5</v>
      </c>
      <c r="J218">
        <v>131.69999999999999</v>
      </c>
      <c r="K218">
        <v>121.3</v>
      </c>
      <c r="L218">
        <v>108.4</v>
      </c>
      <c r="M218">
        <v>138.9</v>
      </c>
      <c r="N218">
        <f t="shared" si="3"/>
        <v>132.94</v>
      </c>
      <c r="O218">
        <v>137</v>
      </c>
      <c r="P218">
        <v>155.80000000000001</v>
      </c>
      <c r="Q218">
        <v>137.4</v>
      </c>
      <c r="R218">
        <v>162.69999999999999</v>
      </c>
      <c r="S218">
        <v>150.6</v>
      </c>
      <c r="T218">
        <v>145.1</v>
      </c>
      <c r="U218">
        <v>149.9</v>
      </c>
      <c r="V218">
        <v>139.25</v>
      </c>
      <c r="W218">
        <v>146.19999999999999</v>
      </c>
      <c r="X218">
        <v>150.1</v>
      </c>
      <c r="Y218">
        <v>149.6</v>
      </c>
      <c r="Z218">
        <v>128.6</v>
      </c>
      <c r="AA218">
        <v>142.9</v>
      </c>
      <c r="AB218">
        <v>155.19999999999999</v>
      </c>
      <c r="AC218">
        <v>133.5</v>
      </c>
      <c r="AD218">
        <v>141.69999999999999</v>
      </c>
      <c r="AE218">
        <v>141</v>
      </c>
    </row>
    <row r="219" spans="1:31"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f t="shared" si="3"/>
        <v>132.57000000000002</v>
      </c>
      <c r="O219">
        <v>128.1</v>
      </c>
      <c r="P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row>
    <row r="220" spans="1:31" x14ac:dyDescent="0.25">
      <c r="A220" t="s">
        <v>34</v>
      </c>
      <c r="B220">
        <v>2019</v>
      </c>
      <c r="C220" t="s">
        <v>31</v>
      </c>
      <c r="D220">
        <v>137.1</v>
      </c>
      <c r="E220">
        <v>151.4</v>
      </c>
      <c r="F220">
        <v>140.19999999999999</v>
      </c>
      <c r="G220">
        <v>142.1</v>
      </c>
      <c r="H220">
        <v>121.8</v>
      </c>
      <c r="I220">
        <v>135.4</v>
      </c>
      <c r="J220">
        <v>131.30000000000001</v>
      </c>
      <c r="K220">
        <v>120.3</v>
      </c>
      <c r="L220">
        <v>109.1</v>
      </c>
      <c r="M220">
        <v>139.4</v>
      </c>
      <c r="N220">
        <f t="shared" si="3"/>
        <v>132.81</v>
      </c>
      <c r="O220">
        <v>133.30000000000001</v>
      </c>
      <c r="P220">
        <v>154.6</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row>
    <row r="221" spans="1:31"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f t="shared" si="3"/>
        <v>132.9</v>
      </c>
      <c r="O221">
        <v>137.4</v>
      </c>
      <c r="P221">
        <v>156.19999999999999</v>
      </c>
      <c r="Q221">
        <v>137.19999999999999</v>
      </c>
      <c r="R221">
        <v>162.80000000000001</v>
      </c>
      <c r="S221">
        <v>150.5</v>
      </c>
      <c r="T221">
        <v>146.1</v>
      </c>
      <c r="U221">
        <v>149.9</v>
      </c>
      <c r="V221">
        <v>139.25</v>
      </c>
      <c r="W221">
        <v>145.30000000000001</v>
      </c>
      <c r="X221">
        <v>150.1</v>
      </c>
      <c r="Y221">
        <v>149.9</v>
      </c>
      <c r="Z221">
        <v>129.19999999999999</v>
      </c>
      <c r="AA221">
        <v>143.4</v>
      </c>
      <c r="AB221">
        <v>155.5</v>
      </c>
      <c r="AC221">
        <v>134.9</v>
      </c>
      <c r="AD221">
        <v>142.19999999999999</v>
      </c>
      <c r="AE221">
        <v>141</v>
      </c>
    </row>
    <row r="222" spans="1:31"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f t="shared" si="3"/>
        <v>133.46</v>
      </c>
      <c r="O222">
        <v>128.30000000000001</v>
      </c>
      <c r="P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row>
    <row r="223" spans="1:31"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f t="shared" si="3"/>
        <v>133.10999999999999</v>
      </c>
      <c r="O223">
        <v>133.6</v>
      </c>
      <c r="P223">
        <v>154.9</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row>
    <row r="224" spans="1:31" x14ac:dyDescent="0.25">
      <c r="A224" t="s">
        <v>30</v>
      </c>
      <c r="B224">
        <v>2019</v>
      </c>
      <c r="C224" t="s">
        <v>36</v>
      </c>
      <c r="D224">
        <v>136.9</v>
      </c>
      <c r="E224">
        <v>154.1</v>
      </c>
      <c r="F224">
        <v>138.69999999999999</v>
      </c>
      <c r="G224">
        <v>142.5</v>
      </c>
      <c r="H224">
        <v>124.1</v>
      </c>
      <c r="I224">
        <v>136.1</v>
      </c>
      <c r="J224">
        <v>128.19999999999999</v>
      </c>
      <c r="K224">
        <v>122.3</v>
      </c>
      <c r="L224">
        <v>108.3</v>
      </c>
      <c r="M224">
        <v>138.9</v>
      </c>
      <c r="N224">
        <f t="shared" si="3"/>
        <v>133.01000000000002</v>
      </c>
      <c r="O224">
        <v>137.4</v>
      </c>
      <c r="P224">
        <v>156.4</v>
      </c>
      <c r="Q224">
        <v>137.30000000000001</v>
      </c>
      <c r="R224">
        <v>162.9</v>
      </c>
      <c r="S224">
        <v>150.80000000000001</v>
      </c>
      <c r="T224">
        <v>146.1</v>
      </c>
      <c r="U224">
        <v>150.1</v>
      </c>
      <c r="V224">
        <v>139.25</v>
      </c>
      <c r="W224">
        <v>146.4</v>
      </c>
      <c r="X224">
        <v>150</v>
      </c>
      <c r="Y224">
        <v>150.4</v>
      </c>
      <c r="Z224">
        <v>129.9</v>
      </c>
      <c r="AA224">
        <v>143.80000000000001</v>
      </c>
      <c r="AB224">
        <v>155.5</v>
      </c>
      <c r="AC224">
        <v>134</v>
      </c>
      <c r="AD224">
        <v>142.4</v>
      </c>
      <c r="AE224">
        <v>141.19999999999999</v>
      </c>
    </row>
    <row r="225" spans="1:31"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f t="shared" si="3"/>
        <v>134.64000000000001</v>
      </c>
      <c r="O225">
        <v>128.5</v>
      </c>
      <c r="P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row>
    <row r="226" spans="1:31"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f t="shared" si="3"/>
        <v>133.59</v>
      </c>
      <c r="O226">
        <v>133.69999999999999</v>
      </c>
      <c r="P226">
        <v>155.19999999999999</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row>
    <row r="227" spans="1:31" x14ac:dyDescent="0.25">
      <c r="A227" t="s">
        <v>30</v>
      </c>
      <c r="B227">
        <v>2019</v>
      </c>
      <c r="C227" t="s">
        <v>38</v>
      </c>
      <c r="D227">
        <v>137.4</v>
      </c>
      <c r="E227">
        <v>159.5</v>
      </c>
      <c r="F227">
        <v>134.5</v>
      </c>
      <c r="G227">
        <v>142.6</v>
      </c>
      <c r="H227">
        <v>124</v>
      </c>
      <c r="I227">
        <v>143.69999999999999</v>
      </c>
      <c r="J227">
        <v>133.4</v>
      </c>
      <c r="K227">
        <v>125.1</v>
      </c>
      <c r="L227">
        <v>109.3</v>
      </c>
      <c r="M227">
        <v>139.30000000000001</v>
      </c>
      <c r="N227">
        <f t="shared" si="3"/>
        <v>134.88</v>
      </c>
      <c r="O227">
        <v>137.69999999999999</v>
      </c>
      <c r="P227">
        <v>156.4</v>
      </c>
      <c r="Q227">
        <v>139.19999999999999</v>
      </c>
      <c r="R227">
        <v>163.30000000000001</v>
      </c>
      <c r="S227">
        <v>151.30000000000001</v>
      </c>
      <c r="T227">
        <v>146.6</v>
      </c>
      <c r="U227">
        <v>150.69999999999999</v>
      </c>
      <c r="V227">
        <v>139.25</v>
      </c>
      <c r="W227">
        <v>146.9</v>
      </c>
      <c r="X227">
        <v>149.5</v>
      </c>
      <c r="Y227">
        <v>151.30000000000001</v>
      </c>
      <c r="Z227">
        <v>130.19999999999999</v>
      </c>
      <c r="AA227">
        <v>145.9</v>
      </c>
      <c r="AB227">
        <v>156.69999999999999</v>
      </c>
      <c r="AC227">
        <v>133.9</v>
      </c>
      <c r="AD227">
        <v>142.9</v>
      </c>
      <c r="AE227">
        <v>142.4</v>
      </c>
    </row>
    <row r="228" spans="1:31"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f t="shared" si="3"/>
        <v>138.43</v>
      </c>
      <c r="O228">
        <v>128.9</v>
      </c>
      <c r="P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row>
    <row r="229" spans="1:31" x14ac:dyDescent="0.25">
      <c r="A229" t="s">
        <v>34</v>
      </c>
      <c r="B229">
        <v>2019</v>
      </c>
      <c r="C229" t="s">
        <v>38</v>
      </c>
      <c r="D229">
        <v>138.30000000000001</v>
      </c>
      <c r="E229">
        <v>158.5</v>
      </c>
      <c r="F229">
        <v>136</v>
      </c>
      <c r="G229">
        <v>142.5</v>
      </c>
      <c r="H229">
        <v>122</v>
      </c>
      <c r="I229">
        <v>146.5</v>
      </c>
      <c r="J229">
        <v>143</v>
      </c>
      <c r="K229">
        <v>124.9</v>
      </c>
      <c r="L229">
        <v>109.9</v>
      </c>
      <c r="M229">
        <v>139.9</v>
      </c>
      <c r="N229">
        <f t="shared" si="3"/>
        <v>136.15000000000003</v>
      </c>
      <c r="O229">
        <v>134</v>
      </c>
      <c r="P229">
        <v>155.5</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row>
    <row r="230" spans="1:31"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f t="shared" si="3"/>
        <v>136.85999999999999</v>
      </c>
      <c r="O230">
        <v>138</v>
      </c>
      <c r="P230">
        <v>156.6</v>
      </c>
      <c r="Q230">
        <v>141</v>
      </c>
      <c r="R230">
        <v>164.2</v>
      </c>
      <c r="S230">
        <v>151.4</v>
      </c>
      <c r="T230">
        <v>146.5</v>
      </c>
      <c r="U230">
        <v>150.69999999999999</v>
      </c>
      <c r="V230">
        <v>139.25</v>
      </c>
      <c r="W230">
        <v>147.80000000000001</v>
      </c>
      <c r="X230">
        <v>149.6</v>
      </c>
      <c r="Y230">
        <v>151.69999999999999</v>
      </c>
      <c r="Z230">
        <v>130.19999999999999</v>
      </c>
      <c r="AA230">
        <v>146.4</v>
      </c>
      <c r="AB230">
        <v>157.69999999999999</v>
      </c>
      <c r="AC230">
        <v>134.80000000000001</v>
      </c>
      <c r="AD230">
        <v>143.30000000000001</v>
      </c>
      <c r="AE230">
        <v>143.6</v>
      </c>
    </row>
    <row r="231" spans="1:31" x14ac:dyDescent="0.25">
      <c r="A231" t="s">
        <v>33</v>
      </c>
      <c r="B231">
        <v>2019</v>
      </c>
      <c r="C231" t="s">
        <v>39</v>
      </c>
      <c r="D231">
        <v>140.69999999999999</v>
      </c>
      <c r="E231">
        <v>159.6</v>
      </c>
      <c r="F231">
        <v>140.4</v>
      </c>
      <c r="G231">
        <v>143.4</v>
      </c>
      <c r="H231">
        <v>118.6</v>
      </c>
      <c r="I231">
        <v>150.9</v>
      </c>
      <c r="J231">
        <v>169.8</v>
      </c>
      <c r="K231">
        <v>127.4</v>
      </c>
      <c r="L231">
        <v>111.8</v>
      </c>
      <c r="M231">
        <v>141</v>
      </c>
      <c r="N231">
        <f t="shared" si="3"/>
        <v>140.35999999999999</v>
      </c>
      <c r="O231">
        <v>129</v>
      </c>
      <c r="P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row>
    <row r="232" spans="1:31"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f t="shared" si="3"/>
        <v>138.13</v>
      </c>
      <c r="O232">
        <v>134.19999999999999</v>
      </c>
      <c r="P232">
        <v>155.9</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row>
    <row r="233" spans="1:31" x14ac:dyDescent="0.25">
      <c r="A233" t="s">
        <v>30</v>
      </c>
      <c r="B233">
        <v>2019</v>
      </c>
      <c r="C233" t="s">
        <v>40</v>
      </c>
      <c r="D233">
        <v>138.4</v>
      </c>
      <c r="E233">
        <v>164</v>
      </c>
      <c r="F233">
        <v>138.4</v>
      </c>
      <c r="G233">
        <v>143.9</v>
      </c>
      <c r="H233">
        <v>124.4</v>
      </c>
      <c r="I233">
        <v>146.4</v>
      </c>
      <c r="J233">
        <v>150.1</v>
      </c>
      <c r="K233">
        <v>130.6</v>
      </c>
      <c r="L233">
        <v>110.8</v>
      </c>
      <c r="M233">
        <v>141.69999999999999</v>
      </c>
      <c r="N233">
        <f t="shared" si="3"/>
        <v>138.86999999999998</v>
      </c>
      <c r="O233">
        <v>138.5</v>
      </c>
      <c r="P233">
        <v>156.69999999999999</v>
      </c>
      <c r="Q233">
        <v>143</v>
      </c>
      <c r="R233">
        <v>164.5</v>
      </c>
      <c r="S233">
        <v>151.6</v>
      </c>
      <c r="T233">
        <v>146.6</v>
      </c>
      <c r="U233">
        <v>150.9</v>
      </c>
      <c r="V233">
        <v>139.25</v>
      </c>
      <c r="W233">
        <v>146.80000000000001</v>
      </c>
      <c r="X233">
        <v>150</v>
      </c>
      <c r="Y233">
        <v>152.19999999999999</v>
      </c>
      <c r="Z233">
        <v>131.19999999999999</v>
      </c>
      <c r="AA233">
        <v>147.5</v>
      </c>
      <c r="AB233">
        <v>159.1</v>
      </c>
      <c r="AC233">
        <v>136.1</v>
      </c>
      <c r="AD233">
        <v>144.19999999999999</v>
      </c>
      <c r="AE233">
        <v>144.9</v>
      </c>
    </row>
    <row r="234" spans="1:31" x14ac:dyDescent="0.25">
      <c r="A234" t="s">
        <v>33</v>
      </c>
      <c r="B234">
        <v>2019</v>
      </c>
      <c r="C234" t="s">
        <v>40</v>
      </c>
      <c r="D234">
        <v>141.4</v>
      </c>
      <c r="E234">
        <v>160.19999999999999</v>
      </c>
      <c r="F234">
        <v>142.5</v>
      </c>
      <c r="G234">
        <v>144.1</v>
      </c>
      <c r="H234">
        <v>119.3</v>
      </c>
      <c r="I234">
        <v>154.69999999999999</v>
      </c>
      <c r="J234">
        <v>180.1</v>
      </c>
      <c r="K234">
        <v>128.9</v>
      </c>
      <c r="L234">
        <v>111.8</v>
      </c>
      <c r="M234">
        <v>141.6</v>
      </c>
      <c r="N234">
        <f t="shared" si="3"/>
        <v>142.45999999999998</v>
      </c>
      <c r="O234">
        <v>129.5</v>
      </c>
      <c r="P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row>
    <row r="235" spans="1:31"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f t="shared" si="3"/>
        <v>140.19</v>
      </c>
      <c r="O235">
        <v>134.69999999999999</v>
      </c>
      <c r="P235">
        <v>156.19999999999999</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row>
    <row r="236" spans="1:31"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f t="shared" si="3"/>
        <v>139.51000000000002</v>
      </c>
      <c r="O236">
        <v>138.5</v>
      </c>
      <c r="P236">
        <v>156.9</v>
      </c>
      <c r="Q236">
        <v>144</v>
      </c>
      <c r="R236">
        <v>165.1</v>
      </c>
      <c r="S236">
        <v>151.80000000000001</v>
      </c>
      <c r="T236">
        <v>146.6</v>
      </c>
      <c r="U236">
        <v>151.1</v>
      </c>
      <c r="V236">
        <v>139.25</v>
      </c>
      <c r="W236">
        <v>146.4</v>
      </c>
      <c r="X236">
        <v>150.19999999999999</v>
      </c>
      <c r="Y236">
        <v>152.69999999999999</v>
      </c>
      <c r="Z236">
        <v>131.4</v>
      </c>
      <c r="AA236">
        <v>148</v>
      </c>
      <c r="AB236">
        <v>159.69999999999999</v>
      </c>
      <c r="AC236">
        <v>138.80000000000001</v>
      </c>
      <c r="AD236">
        <v>144.9</v>
      </c>
      <c r="AE236">
        <v>145.69999999999999</v>
      </c>
    </row>
    <row r="237" spans="1:31"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f t="shared" si="3"/>
        <v>143.4</v>
      </c>
      <c r="O237">
        <v>129.80000000000001</v>
      </c>
      <c r="P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row>
    <row r="238" spans="1:31" x14ac:dyDescent="0.25">
      <c r="A238" t="s">
        <v>34</v>
      </c>
      <c r="B238">
        <v>2019</v>
      </c>
      <c r="C238" t="s">
        <v>41</v>
      </c>
      <c r="D238">
        <v>140.1</v>
      </c>
      <c r="E238">
        <v>160.6</v>
      </c>
      <c r="F238">
        <v>138.5</v>
      </c>
      <c r="G238">
        <v>144.69999999999999</v>
      </c>
      <c r="H238">
        <v>122.9</v>
      </c>
      <c r="I238">
        <v>149.4</v>
      </c>
      <c r="J238">
        <v>167.4</v>
      </c>
      <c r="K238">
        <v>130.9</v>
      </c>
      <c r="L238">
        <v>112</v>
      </c>
      <c r="M238">
        <v>142.6</v>
      </c>
      <c r="N238">
        <f t="shared" si="3"/>
        <v>140.91</v>
      </c>
      <c r="O238">
        <v>134.9</v>
      </c>
      <c r="P238">
        <v>156.6</v>
      </c>
      <c r="Q238">
        <v>145.9</v>
      </c>
      <c r="R238">
        <v>165.8</v>
      </c>
      <c r="S238">
        <v>149.1</v>
      </c>
      <c r="T238">
        <v>140.6</v>
      </c>
      <c r="U238">
        <v>147.9</v>
      </c>
      <c r="V238">
        <v>151.6</v>
      </c>
      <c r="W238">
        <v>138.5</v>
      </c>
      <c r="X238">
        <v>144.5</v>
      </c>
      <c r="Y238">
        <v>148.5</v>
      </c>
      <c r="Z238">
        <v>125.8</v>
      </c>
      <c r="AA238">
        <v>140.9</v>
      </c>
      <c r="AB238">
        <v>154.9</v>
      </c>
      <c r="AC238">
        <v>138.4</v>
      </c>
      <c r="AD238">
        <v>140.19999999999999</v>
      </c>
      <c r="AE238">
        <v>145</v>
      </c>
    </row>
    <row r="239" spans="1:31"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f t="shared" si="3"/>
        <v>140.75</v>
      </c>
      <c r="O239">
        <v>138.5</v>
      </c>
      <c r="P239">
        <v>157.19999999999999</v>
      </c>
      <c r="Q239">
        <v>145.5</v>
      </c>
      <c r="R239">
        <v>165.7</v>
      </c>
      <c r="S239">
        <v>151.69999999999999</v>
      </c>
      <c r="T239">
        <v>146.6</v>
      </c>
      <c r="U239">
        <v>151</v>
      </c>
      <c r="V239">
        <v>139.25</v>
      </c>
      <c r="W239">
        <v>146.9</v>
      </c>
      <c r="X239">
        <v>150.30000000000001</v>
      </c>
      <c r="Y239">
        <v>153.4</v>
      </c>
      <c r="Z239">
        <v>131.6</v>
      </c>
      <c r="AA239">
        <v>148.30000000000001</v>
      </c>
      <c r="AB239">
        <v>160.19999999999999</v>
      </c>
      <c r="AC239">
        <v>140.19999999999999</v>
      </c>
      <c r="AD239">
        <v>145.4</v>
      </c>
      <c r="AE239">
        <v>146.69999999999999</v>
      </c>
    </row>
    <row r="240" spans="1:31"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f t="shared" si="3"/>
        <v>143.9</v>
      </c>
      <c r="O240">
        <v>130</v>
      </c>
      <c r="P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row>
    <row r="241" spans="1:31" x14ac:dyDescent="0.25">
      <c r="A241" t="s">
        <v>34</v>
      </c>
      <c r="B241">
        <v>2019</v>
      </c>
      <c r="C241" t="s">
        <v>42</v>
      </c>
      <c r="D241">
        <v>140.9</v>
      </c>
      <c r="E241">
        <v>160.80000000000001</v>
      </c>
      <c r="F241">
        <v>139.6</v>
      </c>
      <c r="G241">
        <v>145.4</v>
      </c>
      <c r="H241">
        <v>123.5</v>
      </c>
      <c r="I241">
        <v>146.6</v>
      </c>
      <c r="J241">
        <v>173.2</v>
      </c>
      <c r="K241">
        <v>131.6</v>
      </c>
      <c r="L241">
        <v>113.2</v>
      </c>
      <c r="M241">
        <v>144.1</v>
      </c>
      <c r="N241">
        <f t="shared" si="3"/>
        <v>141.88999999999999</v>
      </c>
      <c r="O241">
        <v>135</v>
      </c>
      <c r="P241">
        <v>156.80000000000001</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row>
    <row r="242" spans="1:31" x14ac:dyDescent="0.25">
      <c r="A242" t="s">
        <v>30</v>
      </c>
      <c r="B242">
        <v>2019</v>
      </c>
      <c r="C242" t="s">
        <v>43</v>
      </c>
      <c r="D242">
        <v>141</v>
      </c>
      <c r="E242">
        <v>161.6</v>
      </c>
      <c r="F242">
        <v>141.19999999999999</v>
      </c>
      <c r="G242">
        <v>146.5</v>
      </c>
      <c r="H242">
        <v>125.6</v>
      </c>
      <c r="I242">
        <v>145.69999999999999</v>
      </c>
      <c r="J242">
        <v>178.8</v>
      </c>
      <c r="K242">
        <v>133.1</v>
      </c>
      <c r="L242">
        <v>113.6</v>
      </c>
      <c r="M242">
        <v>145.5</v>
      </c>
      <c r="N242">
        <f t="shared" si="3"/>
        <v>143.25999999999996</v>
      </c>
      <c r="O242">
        <v>138.6</v>
      </c>
      <c r="P242">
        <v>157.4</v>
      </c>
      <c r="Q242">
        <v>148.30000000000001</v>
      </c>
      <c r="R242">
        <v>166.3</v>
      </c>
      <c r="S242">
        <v>151.69999999999999</v>
      </c>
      <c r="T242">
        <v>146.69999999999999</v>
      </c>
      <c r="U242">
        <v>151</v>
      </c>
      <c r="V242">
        <v>139.25</v>
      </c>
      <c r="W242">
        <v>147.69999999999999</v>
      </c>
      <c r="X242">
        <v>150.6</v>
      </c>
      <c r="Y242">
        <v>153.69999999999999</v>
      </c>
      <c r="Z242">
        <v>131.69999999999999</v>
      </c>
      <c r="AA242">
        <v>148.69999999999999</v>
      </c>
      <c r="AB242">
        <v>160.69999999999999</v>
      </c>
      <c r="AC242">
        <v>140.30000000000001</v>
      </c>
      <c r="AD242">
        <v>145.69999999999999</v>
      </c>
      <c r="AE242">
        <v>148.30000000000001</v>
      </c>
    </row>
    <row r="243" spans="1:31"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f t="shared" si="3"/>
        <v>146.37</v>
      </c>
      <c r="O243">
        <v>130.19999999999999</v>
      </c>
      <c r="P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row>
    <row r="244" spans="1:31" x14ac:dyDescent="0.25">
      <c r="A244" t="s">
        <v>34</v>
      </c>
      <c r="B244">
        <v>2019</v>
      </c>
      <c r="C244" t="s">
        <v>43</v>
      </c>
      <c r="D244">
        <v>141.80000000000001</v>
      </c>
      <c r="E244">
        <v>161</v>
      </c>
      <c r="F244">
        <v>142.6</v>
      </c>
      <c r="G244">
        <v>146.19999999999999</v>
      </c>
      <c r="H244">
        <v>123.9</v>
      </c>
      <c r="I244">
        <v>148</v>
      </c>
      <c r="J244">
        <v>188.4</v>
      </c>
      <c r="K244">
        <v>132.5</v>
      </c>
      <c r="L244">
        <v>114</v>
      </c>
      <c r="M244">
        <v>145.4</v>
      </c>
      <c r="N244">
        <f t="shared" si="3"/>
        <v>144.38</v>
      </c>
      <c r="O244">
        <v>135.1</v>
      </c>
      <c r="P244">
        <v>157.1</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row>
    <row r="245" spans="1:31"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f t="shared" si="3"/>
        <v>145.72999999999999</v>
      </c>
      <c r="O245">
        <v>138.69999999999999</v>
      </c>
      <c r="P245">
        <v>157.69999999999999</v>
      </c>
      <c r="Q245">
        <v>150.9</v>
      </c>
      <c r="R245">
        <v>167.2</v>
      </c>
      <c r="S245">
        <v>152.30000000000001</v>
      </c>
      <c r="T245">
        <v>147</v>
      </c>
      <c r="U245">
        <v>151.5</v>
      </c>
      <c r="V245">
        <v>139.25</v>
      </c>
      <c r="W245">
        <v>148.4</v>
      </c>
      <c r="X245">
        <v>150.9</v>
      </c>
      <c r="Y245">
        <v>154.30000000000001</v>
      </c>
      <c r="Z245">
        <v>132.1</v>
      </c>
      <c r="AA245">
        <v>149.1</v>
      </c>
      <c r="AB245">
        <v>160.80000000000001</v>
      </c>
      <c r="AC245">
        <v>140.6</v>
      </c>
      <c r="AD245">
        <v>146.1</v>
      </c>
      <c r="AE245">
        <v>149.9</v>
      </c>
    </row>
    <row r="246" spans="1:31" x14ac:dyDescent="0.25">
      <c r="A246" t="s">
        <v>33</v>
      </c>
      <c r="B246">
        <v>2019</v>
      </c>
      <c r="C246" t="s">
        <v>45</v>
      </c>
      <c r="D246">
        <v>144.1</v>
      </c>
      <c r="E246">
        <v>162.4</v>
      </c>
      <c r="F246">
        <v>148.4</v>
      </c>
      <c r="G246">
        <v>145.9</v>
      </c>
      <c r="H246">
        <v>121.5</v>
      </c>
      <c r="I246">
        <v>148.80000000000001</v>
      </c>
      <c r="J246">
        <v>215.7</v>
      </c>
      <c r="K246">
        <v>134.6</v>
      </c>
      <c r="L246">
        <v>115</v>
      </c>
      <c r="M246">
        <v>146.30000000000001</v>
      </c>
      <c r="N246">
        <f t="shared" si="3"/>
        <v>148.26999999999998</v>
      </c>
      <c r="O246">
        <v>130.5</v>
      </c>
      <c r="P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row>
    <row r="247" spans="1:31"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f t="shared" si="3"/>
        <v>146.62</v>
      </c>
      <c r="O247">
        <v>135.30000000000001</v>
      </c>
      <c r="P247">
        <v>157.5</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row>
    <row r="248" spans="1:31"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f t="shared" si="3"/>
        <v>148.90999999999997</v>
      </c>
      <c r="O248">
        <v>139.30000000000001</v>
      </c>
      <c r="P248">
        <v>158.30000000000001</v>
      </c>
      <c r="Q248">
        <v>154.30000000000001</v>
      </c>
      <c r="R248">
        <v>167.8</v>
      </c>
      <c r="S248">
        <v>152.6</v>
      </c>
      <c r="T248">
        <v>147.30000000000001</v>
      </c>
      <c r="U248">
        <v>151.9</v>
      </c>
      <c r="V248">
        <v>139.25</v>
      </c>
      <c r="W248">
        <v>149.9</v>
      </c>
      <c r="X248">
        <v>151.19999999999999</v>
      </c>
      <c r="Y248">
        <v>154.80000000000001</v>
      </c>
      <c r="Z248">
        <v>135</v>
      </c>
      <c r="AA248">
        <v>149.5</v>
      </c>
      <c r="AB248">
        <v>161.1</v>
      </c>
      <c r="AC248">
        <v>140.6</v>
      </c>
      <c r="AD248">
        <v>147.1</v>
      </c>
      <c r="AE248">
        <v>152.30000000000001</v>
      </c>
    </row>
    <row r="249" spans="1:31"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f t="shared" si="3"/>
        <v>151.19</v>
      </c>
      <c r="O249">
        <v>130.80000000000001</v>
      </c>
      <c r="P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row>
    <row r="250" spans="1:31"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f t="shared" si="3"/>
        <v>149.73000000000002</v>
      </c>
      <c r="O250">
        <v>135.80000000000001</v>
      </c>
      <c r="P250">
        <v>158</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row>
    <row r="251" spans="1:31" x14ac:dyDescent="0.25">
      <c r="A251" t="s">
        <v>30</v>
      </c>
      <c r="B251">
        <v>2020</v>
      </c>
      <c r="C251" t="s">
        <v>31</v>
      </c>
      <c r="D251">
        <v>143.69999999999999</v>
      </c>
      <c r="E251">
        <v>167.3</v>
      </c>
      <c r="F251">
        <v>153.5</v>
      </c>
      <c r="G251">
        <v>150.5</v>
      </c>
      <c r="H251">
        <v>132</v>
      </c>
      <c r="I251">
        <v>142.19999999999999</v>
      </c>
      <c r="J251">
        <v>191.5</v>
      </c>
      <c r="K251">
        <v>141.1</v>
      </c>
      <c r="L251">
        <v>113.8</v>
      </c>
      <c r="M251">
        <v>151.6</v>
      </c>
      <c r="N251">
        <f t="shared" si="3"/>
        <v>148.71999999999997</v>
      </c>
      <c r="O251">
        <v>139.69999999999999</v>
      </c>
      <c r="P251">
        <v>158.69999999999999</v>
      </c>
      <c r="Q251">
        <v>153</v>
      </c>
      <c r="R251">
        <v>168.6</v>
      </c>
      <c r="S251">
        <v>152.80000000000001</v>
      </c>
      <c r="T251">
        <v>147.4</v>
      </c>
      <c r="U251">
        <v>152.1</v>
      </c>
      <c r="V251">
        <v>139.25</v>
      </c>
      <c r="W251">
        <v>150.4</v>
      </c>
      <c r="X251">
        <v>151.69999999999999</v>
      </c>
      <c r="Y251">
        <v>155.69999999999999</v>
      </c>
      <c r="Z251">
        <v>136.30000000000001</v>
      </c>
      <c r="AA251">
        <v>150.1</v>
      </c>
      <c r="AB251">
        <v>161.69999999999999</v>
      </c>
      <c r="AC251">
        <v>142.5</v>
      </c>
      <c r="AD251">
        <v>148.1</v>
      </c>
      <c r="AE251">
        <v>151.9</v>
      </c>
    </row>
    <row r="252" spans="1:31" x14ac:dyDescent="0.25">
      <c r="A252" t="s">
        <v>33</v>
      </c>
      <c r="B252">
        <v>2020</v>
      </c>
      <c r="C252" t="s">
        <v>31</v>
      </c>
      <c r="D252">
        <v>145.6</v>
      </c>
      <c r="E252">
        <v>167.6</v>
      </c>
      <c r="F252">
        <v>157</v>
      </c>
      <c r="G252">
        <v>149.30000000000001</v>
      </c>
      <c r="H252">
        <v>126.3</v>
      </c>
      <c r="I252">
        <v>144.4</v>
      </c>
      <c r="J252">
        <v>207.8</v>
      </c>
      <c r="K252">
        <v>139.1</v>
      </c>
      <c r="L252">
        <v>114.8</v>
      </c>
      <c r="M252">
        <v>149.5</v>
      </c>
      <c r="N252">
        <f t="shared" si="3"/>
        <v>150.13999999999999</v>
      </c>
      <c r="O252">
        <v>131.1</v>
      </c>
      <c r="P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row>
    <row r="253" spans="1:31" x14ac:dyDescent="0.25">
      <c r="A253" t="s">
        <v>34</v>
      </c>
      <c r="B253">
        <v>2020</v>
      </c>
      <c r="C253" t="s">
        <v>31</v>
      </c>
      <c r="D253">
        <v>144.30000000000001</v>
      </c>
      <c r="E253">
        <v>167.4</v>
      </c>
      <c r="F253">
        <v>154.9</v>
      </c>
      <c r="G253">
        <v>150.1</v>
      </c>
      <c r="H253">
        <v>129.9</v>
      </c>
      <c r="I253">
        <v>143.19999999999999</v>
      </c>
      <c r="J253">
        <v>197</v>
      </c>
      <c r="K253">
        <v>140.4</v>
      </c>
      <c r="L253">
        <v>114.1</v>
      </c>
      <c r="M253">
        <v>150.9</v>
      </c>
      <c r="N253">
        <f t="shared" si="3"/>
        <v>149.22</v>
      </c>
      <c r="O253">
        <v>136.1</v>
      </c>
      <c r="P253">
        <v>158.6</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row>
    <row r="254" spans="1:31"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f t="shared" si="3"/>
        <v>146.07</v>
      </c>
      <c r="O254">
        <v>140.1</v>
      </c>
      <c r="P254">
        <v>159.19999999999999</v>
      </c>
      <c r="Q254">
        <v>149.80000000000001</v>
      </c>
      <c r="R254">
        <v>169.4</v>
      </c>
      <c r="S254">
        <v>153</v>
      </c>
      <c r="T254">
        <v>147.5</v>
      </c>
      <c r="U254">
        <v>152.30000000000001</v>
      </c>
      <c r="V254">
        <v>139.25</v>
      </c>
      <c r="W254">
        <v>152.30000000000001</v>
      </c>
      <c r="X254">
        <v>151.80000000000001</v>
      </c>
      <c r="Y254">
        <v>156.19999999999999</v>
      </c>
      <c r="Z254">
        <v>136</v>
      </c>
      <c r="AA254">
        <v>150.4</v>
      </c>
      <c r="AB254">
        <v>161.9</v>
      </c>
      <c r="AC254">
        <v>143.4</v>
      </c>
      <c r="AD254">
        <v>148.4</v>
      </c>
      <c r="AE254">
        <v>150.4</v>
      </c>
    </row>
    <row r="255" spans="1:31" x14ac:dyDescent="0.25">
      <c r="A255" t="s">
        <v>33</v>
      </c>
      <c r="B255">
        <v>2020</v>
      </c>
      <c r="C255" t="s">
        <v>35</v>
      </c>
      <c r="D255">
        <v>146.19999999999999</v>
      </c>
      <c r="E255">
        <v>167.6</v>
      </c>
      <c r="F255">
        <v>153.1</v>
      </c>
      <c r="G255">
        <v>150.69999999999999</v>
      </c>
      <c r="H255">
        <v>127.4</v>
      </c>
      <c r="I255">
        <v>143.1</v>
      </c>
      <c r="J255">
        <v>181.7</v>
      </c>
      <c r="K255">
        <v>139.6</v>
      </c>
      <c r="L255">
        <v>114.6</v>
      </c>
      <c r="M255">
        <v>150.4</v>
      </c>
      <c r="N255">
        <f t="shared" si="3"/>
        <v>147.44</v>
      </c>
      <c r="O255">
        <v>131.5</v>
      </c>
      <c r="P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row>
    <row r="256" spans="1:31"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f t="shared" si="3"/>
        <v>146.55000000000001</v>
      </c>
      <c r="O256">
        <v>136.5</v>
      </c>
      <c r="P256">
        <v>159.1</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row>
    <row r="257" spans="1:31"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f t="shared" si="3"/>
        <v>144.62999999999997</v>
      </c>
      <c r="O257">
        <v>140.1</v>
      </c>
      <c r="P257">
        <v>160</v>
      </c>
      <c r="Q257">
        <v>148.19999999999999</v>
      </c>
      <c r="R257">
        <v>170.5</v>
      </c>
      <c r="S257">
        <v>153.4</v>
      </c>
      <c r="T257">
        <v>147.6</v>
      </c>
      <c r="U257">
        <v>152.5</v>
      </c>
      <c r="V257">
        <v>139.25</v>
      </c>
      <c r="W257">
        <v>153.4</v>
      </c>
      <c r="X257">
        <v>151.5</v>
      </c>
      <c r="Y257">
        <v>156.69999999999999</v>
      </c>
      <c r="Z257">
        <v>135.80000000000001</v>
      </c>
      <c r="AA257">
        <v>151.19999999999999</v>
      </c>
      <c r="AB257">
        <v>161.19999999999999</v>
      </c>
      <c r="AC257">
        <v>145.1</v>
      </c>
      <c r="AD257">
        <v>148.6</v>
      </c>
      <c r="AE257">
        <v>149.80000000000001</v>
      </c>
    </row>
    <row r="258" spans="1:31" x14ac:dyDescent="0.25">
      <c r="A258" t="s">
        <v>33</v>
      </c>
      <c r="B258">
        <v>2020</v>
      </c>
      <c r="C258" t="s">
        <v>36</v>
      </c>
      <c r="D258">
        <v>146.5</v>
      </c>
      <c r="E258">
        <v>167.5</v>
      </c>
      <c r="F258">
        <v>148.9</v>
      </c>
      <c r="G258">
        <v>151.1</v>
      </c>
      <c r="H258">
        <v>127.5</v>
      </c>
      <c r="I258">
        <v>143.30000000000001</v>
      </c>
      <c r="J258">
        <v>167</v>
      </c>
      <c r="K258">
        <v>139.69999999999999</v>
      </c>
      <c r="L258">
        <v>114.4</v>
      </c>
      <c r="M258">
        <v>151.5</v>
      </c>
      <c r="N258">
        <f t="shared" si="3"/>
        <v>145.74</v>
      </c>
      <c r="O258">
        <v>131.9</v>
      </c>
      <c r="P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row>
    <row r="259" spans="1:31"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f t="shared" ref="N259:N322" si="4">AVERAGE(D259:M259)</f>
        <v>145.02000000000001</v>
      </c>
      <c r="O259">
        <v>136.69999999999999</v>
      </c>
      <c r="P259">
        <v>159.6</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row>
    <row r="260" spans="1:31" x14ac:dyDescent="0.25">
      <c r="A260" t="s">
        <v>30</v>
      </c>
      <c r="B260">
        <v>2020</v>
      </c>
      <c r="C260" t="s">
        <v>37</v>
      </c>
      <c r="D260">
        <v>147.19999999999999</v>
      </c>
      <c r="E260">
        <v>156.26</v>
      </c>
      <c r="F260">
        <v>146.9</v>
      </c>
      <c r="G260">
        <v>155.6</v>
      </c>
      <c r="H260">
        <v>137.1</v>
      </c>
      <c r="I260">
        <v>147.30000000000001</v>
      </c>
      <c r="J260">
        <v>162.69999999999999</v>
      </c>
      <c r="K260">
        <v>150.19999999999999</v>
      </c>
      <c r="L260">
        <v>119.8</v>
      </c>
      <c r="M260">
        <v>158.69999999999999</v>
      </c>
      <c r="N260">
        <f t="shared" si="4"/>
        <v>148.17600000000002</v>
      </c>
      <c r="O260">
        <v>139.19999999999999</v>
      </c>
      <c r="P260">
        <v>149.08000000000001</v>
      </c>
      <c r="Q260">
        <v>150.1</v>
      </c>
      <c r="R260">
        <v>155.38</v>
      </c>
      <c r="S260">
        <v>142.66</v>
      </c>
      <c r="T260">
        <v>136</v>
      </c>
      <c r="U260">
        <v>141.66999999999999</v>
      </c>
      <c r="V260">
        <v>139.25</v>
      </c>
      <c r="W260">
        <v>148.4</v>
      </c>
      <c r="X260">
        <v>136.68</v>
      </c>
      <c r="Y260">
        <v>154.30000000000001</v>
      </c>
      <c r="Z260">
        <v>127.17</v>
      </c>
      <c r="AA260">
        <v>133.88999999999999</v>
      </c>
      <c r="AB260">
        <v>141.13</v>
      </c>
      <c r="AC260">
        <v>133.35</v>
      </c>
      <c r="AD260">
        <v>134.22999999999999</v>
      </c>
      <c r="AE260">
        <v>139.56</v>
      </c>
    </row>
    <row r="261" spans="1:31" x14ac:dyDescent="0.25">
      <c r="A261" t="s">
        <v>33</v>
      </c>
      <c r="B261">
        <v>2020</v>
      </c>
      <c r="C261" t="s">
        <v>37</v>
      </c>
      <c r="D261">
        <v>151.80000000000001</v>
      </c>
      <c r="E261">
        <v>156.26</v>
      </c>
      <c r="F261">
        <v>151.9</v>
      </c>
      <c r="G261">
        <v>155.5</v>
      </c>
      <c r="H261">
        <v>131.6</v>
      </c>
      <c r="I261">
        <v>152.9</v>
      </c>
      <c r="J261">
        <v>180</v>
      </c>
      <c r="K261">
        <v>150.80000000000001</v>
      </c>
      <c r="L261">
        <v>121.2</v>
      </c>
      <c r="M261">
        <v>154</v>
      </c>
      <c r="N261">
        <f t="shared" si="4"/>
        <v>150.596</v>
      </c>
      <c r="O261">
        <v>133.5</v>
      </c>
      <c r="P261">
        <v>149.08000000000001</v>
      </c>
      <c r="Q261">
        <v>153.5</v>
      </c>
      <c r="R261">
        <v>155.38</v>
      </c>
      <c r="S261">
        <v>142.66</v>
      </c>
      <c r="T261">
        <v>136</v>
      </c>
      <c r="U261">
        <v>141.66999999999999</v>
      </c>
      <c r="V261">
        <v>155.6</v>
      </c>
      <c r="W261">
        <v>137.1</v>
      </c>
      <c r="X261">
        <v>136.68</v>
      </c>
      <c r="Y261">
        <v>144.80000000000001</v>
      </c>
      <c r="Z261">
        <v>127.17</v>
      </c>
      <c r="AA261">
        <v>133.88999999999999</v>
      </c>
      <c r="AB261">
        <v>141.13</v>
      </c>
      <c r="AC261">
        <v>133.35</v>
      </c>
      <c r="AD261">
        <v>134.22999999999999</v>
      </c>
      <c r="AE261">
        <v>139.56</v>
      </c>
    </row>
    <row r="262" spans="1:31" x14ac:dyDescent="0.25">
      <c r="A262" t="s">
        <v>34</v>
      </c>
      <c r="B262">
        <v>2020</v>
      </c>
      <c r="C262" t="s">
        <v>37</v>
      </c>
      <c r="D262">
        <v>148.69999999999999</v>
      </c>
      <c r="E262">
        <v>156.26</v>
      </c>
      <c r="F262">
        <v>148.80000000000001</v>
      </c>
      <c r="G262">
        <v>155.6</v>
      </c>
      <c r="H262">
        <v>135.1</v>
      </c>
      <c r="I262">
        <v>149.9</v>
      </c>
      <c r="J262">
        <v>168.6</v>
      </c>
      <c r="K262">
        <v>150.4</v>
      </c>
      <c r="L262">
        <v>120.3</v>
      </c>
      <c r="M262">
        <v>157.1</v>
      </c>
      <c r="N262">
        <f t="shared" si="4"/>
        <v>149.07599999999999</v>
      </c>
      <c r="O262">
        <v>136.80000000000001</v>
      </c>
      <c r="P262">
        <v>149.08000000000001</v>
      </c>
      <c r="Q262">
        <v>151.4</v>
      </c>
      <c r="R262">
        <v>155.38</v>
      </c>
      <c r="S262">
        <v>142.66</v>
      </c>
      <c r="T262">
        <v>136</v>
      </c>
      <c r="U262">
        <v>141.66999999999999</v>
      </c>
      <c r="V262">
        <v>155.6</v>
      </c>
      <c r="W262">
        <v>144.1</v>
      </c>
      <c r="X262">
        <v>136.68</v>
      </c>
      <c r="Y262">
        <v>150.69999999999999</v>
      </c>
      <c r="Z262">
        <v>127.17</v>
      </c>
      <c r="AA262">
        <v>133.88999999999999</v>
      </c>
      <c r="AB262">
        <v>141.13</v>
      </c>
      <c r="AC262">
        <v>133.35</v>
      </c>
      <c r="AD262">
        <v>134.22999999999999</v>
      </c>
      <c r="AE262">
        <v>139.56</v>
      </c>
    </row>
    <row r="263" spans="1:31" x14ac:dyDescent="0.25">
      <c r="A263" t="s">
        <v>30</v>
      </c>
      <c r="B263">
        <v>2020</v>
      </c>
      <c r="C263" t="s">
        <v>38</v>
      </c>
      <c r="D263">
        <v>136.68</v>
      </c>
      <c r="E263">
        <v>156.26</v>
      </c>
      <c r="F263">
        <v>140.79</v>
      </c>
      <c r="G263">
        <v>140.32</v>
      </c>
      <c r="H263">
        <v>132.12</v>
      </c>
      <c r="I263">
        <v>140.84</v>
      </c>
      <c r="J263">
        <v>155.75</v>
      </c>
      <c r="K263">
        <v>141.43</v>
      </c>
      <c r="L263">
        <v>111</v>
      </c>
      <c r="M263">
        <v>144.52000000000001</v>
      </c>
      <c r="N263">
        <f t="shared" si="4"/>
        <v>139.971</v>
      </c>
      <c r="O263">
        <v>134.09</v>
      </c>
      <c r="P263">
        <v>149.08000000000001</v>
      </c>
      <c r="Q263">
        <v>142.51</v>
      </c>
      <c r="R263">
        <v>155.38</v>
      </c>
      <c r="S263">
        <v>142.66</v>
      </c>
      <c r="T263">
        <v>136</v>
      </c>
      <c r="U263">
        <v>141.66999999999999</v>
      </c>
      <c r="V263">
        <v>139.25</v>
      </c>
      <c r="W263">
        <v>136.51</v>
      </c>
      <c r="X263">
        <v>136.68</v>
      </c>
      <c r="Y263">
        <v>138.51</v>
      </c>
      <c r="Z263">
        <v>127.17</v>
      </c>
      <c r="AA263">
        <v>133.88999999999999</v>
      </c>
      <c r="AB263">
        <v>141.13</v>
      </c>
      <c r="AC263">
        <v>133.35</v>
      </c>
      <c r="AD263">
        <v>134.22999999999999</v>
      </c>
      <c r="AE263">
        <v>139.56</v>
      </c>
    </row>
    <row r="264" spans="1:31" x14ac:dyDescent="0.25">
      <c r="A264" t="s">
        <v>33</v>
      </c>
      <c r="B264">
        <v>2020</v>
      </c>
      <c r="C264" t="s">
        <v>38</v>
      </c>
      <c r="D264">
        <v>136.68</v>
      </c>
      <c r="E264">
        <v>156.26</v>
      </c>
      <c r="F264">
        <v>140.79</v>
      </c>
      <c r="G264">
        <v>140.32</v>
      </c>
      <c r="H264">
        <v>132.12</v>
      </c>
      <c r="I264">
        <v>140.84</v>
      </c>
      <c r="J264">
        <v>155.75</v>
      </c>
      <c r="K264">
        <v>141.43</v>
      </c>
      <c r="L264">
        <v>111</v>
      </c>
      <c r="M264">
        <v>144.52000000000001</v>
      </c>
      <c r="N264">
        <f t="shared" si="4"/>
        <v>139.971</v>
      </c>
      <c r="O264">
        <v>134.09</v>
      </c>
      <c r="P264">
        <v>149.08000000000001</v>
      </c>
      <c r="Q264">
        <v>142.51</v>
      </c>
      <c r="R264">
        <v>155.38</v>
      </c>
      <c r="S264">
        <v>142.66</v>
      </c>
      <c r="T264">
        <v>136</v>
      </c>
      <c r="U264">
        <v>141.66999999999999</v>
      </c>
      <c r="V264">
        <v>139.25</v>
      </c>
      <c r="W264">
        <v>136.51</v>
      </c>
      <c r="X264">
        <v>136.68</v>
      </c>
      <c r="Y264">
        <v>138.51</v>
      </c>
      <c r="Z264">
        <v>127.17</v>
      </c>
      <c r="AA264">
        <v>133.88999999999999</v>
      </c>
      <c r="AB264">
        <v>141.13</v>
      </c>
      <c r="AC264">
        <v>133.35</v>
      </c>
      <c r="AD264">
        <v>134.22999999999999</v>
      </c>
      <c r="AE264">
        <v>139.56</v>
      </c>
    </row>
    <row r="265" spans="1:31" x14ac:dyDescent="0.25">
      <c r="A265" t="s">
        <v>34</v>
      </c>
      <c r="B265">
        <v>2020</v>
      </c>
      <c r="C265" t="s">
        <v>38</v>
      </c>
      <c r="D265">
        <v>136.68</v>
      </c>
      <c r="E265">
        <v>156.26</v>
      </c>
      <c r="F265">
        <v>140.79</v>
      </c>
      <c r="G265">
        <v>140.32</v>
      </c>
      <c r="H265">
        <v>132.12</v>
      </c>
      <c r="I265">
        <v>140.84</v>
      </c>
      <c r="J265">
        <v>155.75</v>
      </c>
      <c r="K265">
        <v>141.43</v>
      </c>
      <c r="L265">
        <v>111</v>
      </c>
      <c r="M265">
        <v>144.52000000000001</v>
      </c>
      <c r="N265">
        <f t="shared" si="4"/>
        <v>139.971</v>
      </c>
      <c r="O265">
        <v>134.09</v>
      </c>
      <c r="P265">
        <v>149.08000000000001</v>
      </c>
      <c r="Q265">
        <v>142.51</v>
      </c>
      <c r="R265">
        <v>155.38</v>
      </c>
      <c r="S265">
        <v>142.66</v>
      </c>
      <c r="T265">
        <v>136</v>
      </c>
      <c r="U265">
        <v>141.66999999999999</v>
      </c>
      <c r="V265">
        <v>139.25</v>
      </c>
      <c r="W265">
        <v>136.51</v>
      </c>
      <c r="X265">
        <v>136.68</v>
      </c>
      <c r="Y265">
        <v>138.51</v>
      </c>
      <c r="Z265">
        <v>127.17</v>
      </c>
      <c r="AA265">
        <v>133.88999999999999</v>
      </c>
      <c r="AB265">
        <v>141.13</v>
      </c>
      <c r="AC265">
        <v>133.35</v>
      </c>
      <c r="AD265">
        <v>134.22999999999999</v>
      </c>
      <c r="AE265">
        <v>139.56</v>
      </c>
    </row>
    <row r="266" spans="1:31"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f t="shared" si="4"/>
        <v>149.48000000000002</v>
      </c>
      <c r="O266">
        <v>142.1</v>
      </c>
      <c r="P266">
        <v>161.80000000000001</v>
      </c>
      <c r="Q266">
        <v>152.30000000000001</v>
      </c>
      <c r="R266">
        <v>182.4</v>
      </c>
      <c r="S266">
        <v>154.69999999999999</v>
      </c>
      <c r="T266">
        <v>150</v>
      </c>
      <c r="U266">
        <v>154.1</v>
      </c>
      <c r="V266">
        <v>139.25</v>
      </c>
      <c r="W266">
        <v>144.9</v>
      </c>
      <c r="X266">
        <v>151.69999999999999</v>
      </c>
      <c r="Y266">
        <v>158.19999999999999</v>
      </c>
      <c r="Z266">
        <v>141.4</v>
      </c>
      <c r="AA266">
        <v>153.19999999999999</v>
      </c>
      <c r="AB266">
        <v>161.80000000000001</v>
      </c>
      <c r="AC266">
        <v>151.19999999999999</v>
      </c>
      <c r="AD266">
        <v>151.69999999999999</v>
      </c>
      <c r="AE266">
        <v>152.69999999999999</v>
      </c>
    </row>
    <row r="267" spans="1:31"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f t="shared" si="4"/>
        <v>154.07</v>
      </c>
      <c r="O267">
        <v>135.6</v>
      </c>
      <c r="P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row>
    <row r="268" spans="1:31"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f t="shared" si="4"/>
        <v>151.16000000000003</v>
      </c>
      <c r="O268">
        <v>139.4</v>
      </c>
      <c r="P268">
        <v>161.80000000000001</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row>
    <row r="269" spans="1:31"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f t="shared" si="4"/>
        <v>149.48000000000002</v>
      </c>
      <c r="O269">
        <v>142.1</v>
      </c>
      <c r="P269">
        <v>161.80000000000001</v>
      </c>
      <c r="Q269">
        <v>152.30000000000001</v>
      </c>
      <c r="R269">
        <v>182.4</v>
      </c>
      <c r="S269">
        <v>154.69999999999999</v>
      </c>
      <c r="T269">
        <v>150</v>
      </c>
      <c r="U269">
        <v>154.1</v>
      </c>
      <c r="V269">
        <v>139.25</v>
      </c>
      <c r="W269">
        <v>144.9</v>
      </c>
      <c r="X269">
        <v>151.69999999999999</v>
      </c>
      <c r="Y269">
        <v>158.19999999999999</v>
      </c>
      <c r="Z269">
        <v>141.4</v>
      </c>
      <c r="AA269">
        <v>153.19999999999999</v>
      </c>
      <c r="AB269">
        <v>161.80000000000001</v>
      </c>
      <c r="AC269">
        <v>151.19999999999999</v>
      </c>
      <c r="AD269">
        <v>151.69999999999999</v>
      </c>
      <c r="AE269">
        <v>152.69999999999999</v>
      </c>
    </row>
    <row r="270" spans="1:31"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f t="shared" si="4"/>
        <v>154.07</v>
      </c>
      <c r="O270">
        <v>135.6</v>
      </c>
      <c r="P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row>
    <row r="271" spans="1:31"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f t="shared" si="4"/>
        <v>151.16000000000003</v>
      </c>
      <c r="O271">
        <v>139.4</v>
      </c>
      <c r="P271">
        <v>161.80000000000001</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row>
    <row r="272" spans="1:31" x14ac:dyDescent="0.25">
      <c r="A272" t="s">
        <v>30</v>
      </c>
      <c r="B272">
        <v>2020</v>
      </c>
      <c r="C272" t="s">
        <v>41</v>
      </c>
      <c r="D272">
        <v>147.6</v>
      </c>
      <c r="E272">
        <v>187.2</v>
      </c>
      <c r="F272">
        <v>148.4</v>
      </c>
      <c r="G272">
        <v>153.30000000000001</v>
      </c>
      <c r="H272">
        <v>139.80000000000001</v>
      </c>
      <c r="I272">
        <v>146.9</v>
      </c>
      <c r="J272">
        <v>171</v>
      </c>
      <c r="K272">
        <v>149.9</v>
      </c>
      <c r="L272">
        <v>114.2</v>
      </c>
      <c r="M272">
        <v>160</v>
      </c>
      <c r="N272">
        <f t="shared" si="4"/>
        <v>151.82999999999998</v>
      </c>
      <c r="O272">
        <v>143.5</v>
      </c>
      <c r="P272">
        <v>161.5</v>
      </c>
      <c r="Q272">
        <v>155.30000000000001</v>
      </c>
      <c r="R272">
        <v>180.9</v>
      </c>
      <c r="S272">
        <v>155.1</v>
      </c>
      <c r="T272">
        <v>149.30000000000001</v>
      </c>
      <c r="U272">
        <v>154.30000000000001</v>
      </c>
      <c r="V272">
        <v>139.25</v>
      </c>
      <c r="W272">
        <v>145.80000000000001</v>
      </c>
      <c r="X272">
        <v>151.9</v>
      </c>
      <c r="Y272">
        <v>158.80000000000001</v>
      </c>
      <c r="Z272">
        <v>143.6</v>
      </c>
      <c r="AA272">
        <v>152.19999999999999</v>
      </c>
      <c r="AB272">
        <v>162.69999999999999</v>
      </c>
      <c r="AC272">
        <v>153.6</v>
      </c>
      <c r="AD272">
        <v>153</v>
      </c>
      <c r="AE272">
        <v>154.69999999999999</v>
      </c>
    </row>
    <row r="273" spans="1:31" x14ac:dyDescent="0.25">
      <c r="A273" t="s">
        <v>33</v>
      </c>
      <c r="B273">
        <v>2020</v>
      </c>
      <c r="C273" t="s">
        <v>41</v>
      </c>
      <c r="D273">
        <v>151.6</v>
      </c>
      <c r="E273">
        <v>197.8</v>
      </c>
      <c r="F273">
        <v>154.5</v>
      </c>
      <c r="G273">
        <v>153.4</v>
      </c>
      <c r="H273">
        <v>133.4</v>
      </c>
      <c r="I273">
        <v>154.5</v>
      </c>
      <c r="J273">
        <v>191.9</v>
      </c>
      <c r="K273">
        <v>151.30000000000001</v>
      </c>
      <c r="L273">
        <v>116.8</v>
      </c>
      <c r="M273">
        <v>160</v>
      </c>
      <c r="N273">
        <f t="shared" si="4"/>
        <v>156.51999999999998</v>
      </c>
      <c r="O273">
        <v>136.5</v>
      </c>
      <c r="P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row>
    <row r="274" spans="1:31" x14ac:dyDescent="0.25">
      <c r="A274" t="s">
        <v>34</v>
      </c>
      <c r="B274">
        <v>2020</v>
      </c>
      <c r="C274" t="s">
        <v>41</v>
      </c>
      <c r="D274">
        <v>148.9</v>
      </c>
      <c r="E274">
        <v>190.9</v>
      </c>
      <c r="F274">
        <v>150.80000000000001</v>
      </c>
      <c r="G274">
        <v>153.30000000000001</v>
      </c>
      <c r="H274">
        <v>137.4</v>
      </c>
      <c r="I274">
        <v>150.4</v>
      </c>
      <c r="J274">
        <v>178.1</v>
      </c>
      <c r="K274">
        <v>150.4</v>
      </c>
      <c r="L274">
        <v>115.1</v>
      </c>
      <c r="M274">
        <v>160</v>
      </c>
      <c r="N274">
        <f t="shared" si="4"/>
        <v>153.53</v>
      </c>
      <c r="O274">
        <v>140.6</v>
      </c>
      <c r="P274">
        <v>162.30000000000001</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row>
    <row r="275" spans="1:31" x14ac:dyDescent="0.25">
      <c r="A275" t="s">
        <v>30</v>
      </c>
      <c r="B275">
        <v>2020</v>
      </c>
      <c r="C275" t="s">
        <v>42</v>
      </c>
      <c r="D275">
        <v>146.9</v>
      </c>
      <c r="E275">
        <v>183.9</v>
      </c>
      <c r="F275">
        <v>149.5</v>
      </c>
      <c r="G275">
        <v>153.4</v>
      </c>
      <c r="H275">
        <v>140.4</v>
      </c>
      <c r="I275">
        <v>147</v>
      </c>
      <c r="J275">
        <v>178.8</v>
      </c>
      <c r="K275">
        <v>149.30000000000001</v>
      </c>
      <c r="L275">
        <v>115.1</v>
      </c>
      <c r="M275">
        <v>160</v>
      </c>
      <c r="N275">
        <f t="shared" si="4"/>
        <v>152.43</v>
      </c>
      <c r="O275">
        <v>145.4</v>
      </c>
      <c r="P275">
        <v>161.6</v>
      </c>
      <c r="Q275">
        <v>156.1</v>
      </c>
      <c r="R275">
        <v>182.9</v>
      </c>
      <c r="S275">
        <v>155.4</v>
      </c>
      <c r="T275">
        <v>149.9</v>
      </c>
      <c r="U275">
        <v>154.6</v>
      </c>
      <c r="V275">
        <v>139.25</v>
      </c>
      <c r="W275">
        <v>146.4</v>
      </c>
      <c r="X275">
        <v>151.6</v>
      </c>
      <c r="Y275">
        <v>159.1</v>
      </c>
      <c r="Z275">
        <v>144.6</v>
      </c>
      <c r="AA275">
        <v>152.80000000000001</v>
      </c>
      <c r="AB275">
        <v>161.1</v>
      </c>
      <c r="AC275">
        <v>157.4</v>
      </c>
      <c r="AD275">
        <v>153.69999999999999</v>
      </c>
      <c r="AE275">
        <v>155.4</v>
      </c>
    </row>
    <row r="276" spans="1:31" x14ac:dyDescent="0.25">
      <c r="A276" t="s">
        <v>33</v>
      </c>
      <c r="B276">
        <v>2020</v>
      </c>
      <c r="C276" t="s">
        <v>42</v>
      </c>
      <c r="D276">
        <v>151.5</v>
      </c>
      <c r="E276">
        <v>193.1</v>
      </c>
      <c r="F276">
        <v>157.30000000000001</v>
      </c>
      <c r="G276">
        <v>153.9</v>
      </c>
      <c r="H276">
        <v>134.4</v>
      </c>
      <c r="I276">
        <v>155.4</v>
      </c>
      <c r="J276">
        <v>202</v>
      </c>
      <c r="K276">
        <v>150.80000000000001</v>
      </c>
      <c r="L276">
        <v>118.9</v>
      </c>
      <c r="M276">
        <v>160.9</v>
      </c>
      <c r="N276">
        <f t="shared" si="4"/>
        <v>157.82</v>
      </c>
      <c r="O276">
        <v>137.69999999999999</v>
      </c>
      <c r="P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row>
    <row r="277" spans="1:31"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f t="shared" si="4"/>
        <v>154.38999999999999</v>
      </c>
      <c r="O277">
        <v>142.19999999999999</v>
      </c>
      <c r="P277">
        <v>162.9</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row>
    <row r="278" spans="1:31"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f t="shared" si="4"/>
        <v>156.19999999999999</v>
      </c>
      <c r="O278">
        <v>147.4</v>
      </c>
      <c r="P278">
        <v>161.9</v>
      </c>
      <c r="Q278">
        <v>159.6</v>
      </c>
      <c r="R278">
        <v>182.7</v>
      </c>
      <c r="S278">
        <v>155.69999999999999</v>
      </c>
      <c r="T278">
        <v>150.6</v>
      </c>
      <c r="U278">
        <v>155</v>
      </c>
      <c r="V278">
        <v>139.25</v>
      </c>
      <c r="W278">
        <v>146.80000000000001</v>
      </c>
      <c r="X278">
        <v>152</v>
      </c>
      <c r="Y278">
        <v>159.5</v>
      </c>
      <c r="Z278">
        <v>146.4</v>
      </c>
      <c r="AA278">
        <v>152.4</v>
      </c>
      <c r="AB278">
        <v>162.5</v>
      </c>
      <c r="AC278">
        <v>156.19999999999999</v>
      </c>
      <c r="AD278">
        <v>154.30000000000001</v>
      </c>
      <c r="AE278">
        <v>157.5</v>
      </c>
    </row>
    <row r="279" spans="1:31"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f t="shared" si="4"/>
        <v>161.18</v>
      </c>
      <c r="O279">
        <v>139.19999999999999</v>
      </c>
      <c r="P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row>
    <row r="280" spans="1:31" x14ac:dyDescent="0.25">
      <c r="A280" t="s">
        <v>34</v>
      </c>
      <c r="B280">
        <v>2020</v>
      </c>
      <c r="C280" t="s">
        <v>43</v>
      </c>
      <c r="D280">
        <v>147.5</v>
      </c>
      <c r="E280">
        <v>188.9</v>
      </c>
      <c r="F280">
        <v>161.4</v>
      </c>
      <c r="G280">
        <v>153.6</v>
      </c>
      <c r="H280">
        <v>140.1</v>
      </c>
      <c r="I280">
        <v>151.19999999999999</v>
      </c>
      <c r="J280">
        <v>209.2</v>
      </c>
      <c r="K280">
        <v>150.9</v>
      </c>
      <c r="L280">
        <v>116.2</v>
      </c>
      <c r="M280">
        <v>161</v>
      </c>
      <c r="N280">
        <f t="shared" si="4"/>
        <v>158.00000000000003</v>
      </c>
      <c r="O280">
        <v>144</v>
      </c>
      <c r="P280">
        <v>163.19999999999999</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row>
    <row r="281" spans="1:31" x14ac:dyDescent="0.25">
      <c r="A281" t="s">
        <v>30</v>
      </c>
      <c r="B281">
        <v>2020</v>
      </c>
      <c r="C281" t="s">
        <v>45</v>
      </c>
      <c r="D281">
        <v>145.4</v>
      </c>
      <c r="E281">
        <v>188.6</v>
      </c>
      <c r="F281">
        <v>171.6</v>
      </c>
      <c r="G281">
        <v>153.80000000000001</v>
      </c>
      <c r="H281">
        <v>145.4</v>
      </c>
      <c r="I281">
        <v>146.5</v>
      </c>
      <c r="J281">
        <v>222.2</v>
      </c>
      <c r="K281">
        <v>155.9</v>
      </c>
      <c r="L281">
        <v>114.9</v>
      </c>
      <c r="M281">
        <v>162</v>
      </c>
      <c r="N281">
        <f t="shared" si="4"/>
        <v>160.63000000000002</v>
      </c>
      <c r="O281">
        <v>150</v>
      </c>
      <c r="P281">
        <v>162.69999999999999</v>
      </c>
      <c r="Q281">
        <v>163.4</v>
      </c>
      <c r="R281">
        <v>183.4</v>
      </c>
      <c r="S281">
        <v>156.30000000000001</v>
      </c>
      <c r="T281">
        <v>151</v>
      </c>
      <c r="U281">
        <v>155.5</v>
      </c>
      <c r="V281">
        <v>139.25</v>
      </c>
      <c r="W281">
        <v>147.5</v>
      </c>
      <c r="X281">
        <v>152.80000000000001</v>
      </c>
      <c r="Y281">
        <v>160.4</v>
      </c>
      <c r="Z281">
        <v>146.1</v>
      </c>
      <c r="AA281">
        <v>153.6</v>
      </c>
      <c r="AB281">
        <v>161.6</v>
      </c>
      <c r="AC281">
        <v>156.19999999999999</v>
      </c>
      <c r="AD281">
        <v>154.5</v>
      </c>
      <c r="AE281">
        <v>159.80000000000001</v>
      </c>
    </row>
    <row r="282" spans="1:31" x14ac:dyDescent="0.25">
      <c r="A282" t="s">
        <v>33</v>
      </c>
      <c r="B282">
        <v>2020</v>
      </c>
      <c r="C282" t="s">
        <v>45</v>
      </c>
      <c r="D282">
        <v>149.69999999999999</v>
      </c>
      <c r="E282">
        <v>195.5</v>
      </c>
      <c r="F282">
        <v>176.9</v>
      </c>
      <c r="G282">
        <v>153.9</v>
      </c>
      <c r="H282">
        <v>138</v>
      </c>
      <c r="I282">
        <v>150.5</v>
      </c>
      <c r="J282">
        <v>245.3</v>
      </c>
      <c r="K282">
        <v>158.69999999999999</v>
      </c>
      <c r="L282">
        <v>117.2</v>
      </c>
      <c r="M282">
        <v>161.4</v>
      </c>
      <c r="N282">
        <f t="shared" si="4"/>
        <v>164.71</v>
      </c>
      <c r="O282">
        <v>141.5</v>
      </c>
      <c r="P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row>
    <row r="283" spans="1:31"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f t="shared" si="4"/>
        <v>162.06</v>
      </c>
      <c r="O283">
        <v>146.5</v>
      </c>
      <c r="P283">
        <v>163.80000000000001</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row>
    <row r="284" spans="1:31" x14ac:dyDescent="0.25">
      <c r="A284" t="s">
        <v>30</v>
      </c>
      <c r="B284">
        <v>2020</v>
      </c>
      <c r="C284" t="s">
        <v>46</v>
      </c>
      <c r="D284">
        <v>144.6</v>
      </c>
      <c r="E284">
        <v>188.5</v>
      </c>
      <c r="F284">
        <v>173.4</v>
      </c>
      <c r="G284">
        <v>154</v>
      </c>
      <c r="H284">
        <v>150</v>
      </c>
      <c r="I284">
        <v>145.9</v>
      </c>
      <c r="J284">
        <v>225.2</v>
      </c>
      <c r="K284">
        <v>159.5</v>
      </c>
      <c r="L284">
        <v>114.4</v>
      </c>
      <c r="M284">
        <v>163.5</v>
      </c>
      <c r="N284">
        <f t="shared" si="4"/>
        <v>161.9</v>
      </c>
      <c r="O284">
        <v>153.4</v>
      </c>
      <c r="P284">
        <v>163.6</v>
      </c>
      <c r="Q284">
        <v>164.5</v>
      </c>
      <c r="R284">
        <v>183.6</v>
      </c>
      <c r="S284">
        <v>157</v>
      </c>
      <c r="T284">
        <v>151.6</v>
      </c>
      <c r="U284">
        <v>156.30000000000001</v>
      </c>
      <c r="V284">
        <v>139.25</v>
      </c>
      <c r="W284">
        <v>148.69999999999999</v>
      </c>
      <c r="X284">
        <v>153.4</v>
      </c>
      <c r="Y284">
        <v>161.6</v>
      </c>
      <c r="Z284">
        <v>146.4</v>
      </c>
      <c r="AA284">
        <v>153.9</v>
      </c>
      <c r="AB284">
        <v>162.9</v>
      </c>
      <c r="AC284">
        <v>156.6</v>
      </c>
      <c r="AD284">
        <v>155.19999999999999</v>
      </c>
      <c r="AE284">
        <v>160.69999999999999</v>
      </c>
    </row>
    <row r="285" spans="1:31"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f t="shared" si="4"/>
        <v>164.90000000000003</v>
      </c>
      <c r="O285">
        <v>143.30000000000001</v>
      </c>
      <c r="P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row>
    <row r="286" spans="1:31" x14ac:dyDescent="0.25">
      <c r="A286" t="s">
        <v>34</v>
      </c>
      <c r="B286">
        <v>2020</v>
      </c>
      <c r="C286" t="s">
        <v>46</v>
      </c>
      <c r="D286">
        <v>146</v>
      </c>
      <c r="E286">
        <v>191</v>
      </c>
      <c r="F286">
        <v>175.3</v>
      </c>
      <c r="G286">
        <v>154.1</v>
      </c>
      <c r="H286">
        <v>146.6</v>
      </c>
      <c r="I286">
        <v>147.69999999999999</v>
      </c>
      <c r="J286">
        <v>230.5</v>
      </c>
      <c r="K286">
        <v>160.19999999999999</v>
      </c>
      <c r="L286">
        <v>115.3</v>
      </c>
      <c r="M286">
        <v>163</v>
      </c>
      <c r="N286">
        <f t="shared" si="4"/>
        <v>162.97</v>
      </c>
      <c r="O286">
        <v>149.19999999999999</v>
      </c>
      <c r="P286">
        <v>164.8</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row>
    <row r="287" spans="1:31" x14ac:dyDescent="0.25">
      <c r="A287" t="s">
        <v>30</v>
      </c>
      <c r="B287">
        <v>2021</v>
      </c>
      <c r="C287" t="s">
        <v>31</v>
      </c>
      <c r="D287">
        <v>143.4</v>
      </c>
      <c r="E287">
        <v>187.5</v>
      </c>
      <c r="F287">
        <v>173.4</v>
      </c>
      <c r="G287">
        <v>154</v>
      </c>
      <c r="H287">
        <v>154.80000000000001</v>
      </c>
      <c r="I287">
        <v>147</v>
      </c>
      <c r="J287">
        <v>187.8</v>
      </c>
      <c r="K287">
        <v>159.5</v>
      </c>
      <c r="L287">
        <v>113.8</v>
      </c>
      <c r="M287">
        <v>164.5</v>
      </c>
      <c r="N287">
        <f t="shared" si="4"/>
        <v>158.57</v>
      </c>
      <c r="O287">
        <v>156.1</v>
      </c>
      <c r="P287">
        <v>164.3</v>
      </c>
      <c r="Q287">
        <v>159.6</v>
      </c>
      <c r="R287">
        <v>184.6</v>
      </c>
      <c r="S287">
        <v>157.5</v>
      </c>
      <c r="T287">
        <v>152.4</v>
      </c>
      <c r="U287">
        <v>156.80000000000001</v>
      </c>
      <c r="V287">
        <v>139.25</v>
      </c>
      <c r="W287">
        <v>150.9</v>
      </c>
      <c r="X287">
        <v>153.9</v>
      </c>
      <c r="Y287">
        <v>162.5</v>
      </c>
      <c r="Z287">
        <v>147.5</v>
      </c>
      <c r="AA287">
        <v>155.1</v>
      </c>
      <c r="AB287">
        <v>163.5</v>
      </c>
      <c r="AC287">
        <v>156.19999999999999</v>
      </c>
      <c r="AD287">
        <v>155.9</v>
      </c>
      <c r="AE287">
        <v>158.5</v>
      </c>
    </row>
    <row r="288" spans="1:31" x14ac:dyDescent="0.25">
      <c r="A288" t="s">
        <v>33</v>
      </c>
      <c r="B288">
        <v>2021</v>
      </c>
      <c r="C288" t="s">
        <v>31</v>
      </c>
      <c r="D288">
        <v>148</v>
      </c>
      <c r="E288">
        <v>194.8</v>
      </c>
      <c r="F288">
        <v>178.4</v>
      </c>
      <c r="G288">
        <v>154.4</v>
      </c>
      <c r="H288">
        <v>144.1</v>
      </c>
      <c r="I288">
        <v>152.6</v>
      </c>
      <c r="J288">
        <v>206.8</v>
      </c>
      <c r="K288">
        <v>162.1</v>
      </c>
      <c r="L288">
        <v>116.3</v>
      </c>
      <c r="M288">
        <v>163</v>
      </c>
      <c r="N288">
        <f t="shared" si="4"/>
        <v>162.05000000000001</v>
      </c>
      <c r="O288">
        <v>145.9</v>
      </c>
      <c r="P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row>
    <row r="289" spans="1:31" x14ac:dyDescent="0.25">
      <c r="A289" t="s">
        <v>34</v>
      </c>
      <c r="B289">
        <v>2021</v>
      </c>
      <c r="C289" t="s">
        <v>31</v>
      </c>
      <c r="D289">
        <v>144.9</v>
      </c>
      <c r="E289">
        <v>190.1</v>
      </c>
      <c r="F289">
        <v>175.3</v>
      </c>
      <c r="G289">
        <v>154.1</v>
      </c>
      <c r="H289">
        <v>150.9</v>
      </c>
      <c r="I289">
        <v>149.6</v>
      </c>
      <c r="J289">
        <v>194.2</v>
      </c>
      <c r="K289">
        <v>160.4</v>
      </c>
      <c r="L289">
        <v>114.6</v>
      </c>
      <c r="M289">
        <v>164</v>
      </c>
      <c r="N289">
        <f t="shared" si="4"/>
        <v>159.81</v>
      </c>
      <c r="O289">
        <v>151.80000000000001</v>
      </c>
      <c r="P289">
        <v>165.6</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row>
    <row r="290" spans="1:31"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f t="shared" si="4"/>
        <v>154.47999999999999</v>
      </c>
      <c r="O290">
        <v>160</v>
      </c>
      <c r="P290">
        <v>165.8</v>
      </c>
      <c r="Q290">
        <v>154.69999999999999</v>
      </c>
      <c r="R290">
        <v>186.5</v>
      </c>
      <c r="S290">
        <v>159.1</v>
      </c>
      <c r="T290">
        <v>153.9</v>
      </c>
      <c r="U290">
        <v>158.4</v>
      </c>
      <c r="V290">
        <v>139.25</v>
      </c>
      <c r="W290">
        <v>154.4</v>
      </c>
      <c r="X290">
        <v>154.80000000000001</v>
      </c>
      <c r="Y290">
        <v>164.3</v>
      </c>
      <c r="Z290">
        <v>150.19999999999999</v>
      </c>
      <c r="AA290">
        <v>157</v>
      </c>
      <c r="AB290">
        <v>163.6</v>
      </c>
      <c r="AC290">
        <v>155.19999999999999</v>
      </c>
      <c r="AD290">
        <v>157.19999999999999</v>
      </c>
      <c r="AE290">
        <v>156.69999999999999</v>
      </c>
    </row>
    <row r="291" spans="1:31" x14ac:dyDescent="0.25">
      <c r="A291" t="s">
        <v>33</v>
      </c>
      <c r="B291">
        <v>2021</v>
      </c>
      <c r="C291" t="s">
        <v>35</v>
      </c>
      <c r="D291">
        <v>147.6</v>
      </c>
      <c r="E291">
        <v>191.2</v>
      </c>
      <c r="F291">
        <v>169.9</v>
      </c>
      <c r="G291">
        <v>155.1</v>
      </c>
      <c r="H291">
        <v>151.4</v>
      </c>
      <c r="I291">
        <v>154</v>
      </c>
      <c r="J291">
        <v>180.2</v>
      </c>
      <c r="K291">
        <v>159.80000000000001</v>
      </c>
      <c r="L291">
        <v>114.9</v>
      </c>
      <c r="M291">
        <v>162.5</v>
      </c>
      <c r="N291">
        <f t="shared" si="4"/>
        <v>158.66</v>
      </c>
      <c r="O291">
        <v>149.19999999999999</v>
      </c>
      <c r="P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row>
    <row r="292" spans="1:31"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f t="shared" si="4"/>
        <v>155.94</v>
      </c>
      <c r="O292">
        <v>155.5</v>
      </c>
      <c r="P292">
        <v>167.5</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row>
    <row r="293" spans="1:31" x14ac:dyDescent="0.25">
      <c r="A293" t="s">
        <v>30</v>
      </c>
      <c r="B293">
        <v>2021</v>
      </c>
      <c r="C293" t="s">
        <v>36</v>
      </c>
      <c r="D293">
        <v>142.5</v>
      </c>
      <c r="E293">
        <v>189.4</v>
      </c>
      <c r="F293">
        <v>163.19999999999999</v>
      </c>
      <c r="G293">
        <v>154.5</v>
      </c>
      <c r="H293">
        <v>168.2</v>
      </c>
      <c r="I293">
        <v>150.5</v>
      </c>
      <c r="J293">
        <v>141</v>
      </c>
      <c r="K293">
        <v>159.19999999999999</v>
      </c>
      <c r="L293">
        <v>111.7</v>
      </c>
      <c r="M293">
        <v>164</v>
      </c>
      <c r="N293">
        <f t="shared" si="4"/>
        <v>154.42000000000002</v>
      </c>
      <c r="O293">
        <v>160.6</v>
      </c>
      <c r="P293">
        <v>166.4</v>
      </c>
      <c r="Q293">
        <v>154.5</v>
      </c>
      <c r="R293">
        <v>186.1</v>
      </c>
      <c r="S293">
        <v>159.6</v>
      </c>
      <c r="T293">
        <v>154.4</v>
      </c>
      <c r="U293">
        <v>158.9</v>
      </c>
      <c r="V293">
        <v>139.25</v>
      </c>
      <c r="W293">
        <v>156</v>
      </c>
      <c r="X293">
        <v>154.80000000000001</v>
      </c>
      <c r="Y293">
        <v>164.6</v>
      </c>
      <c r="Z293">
        <v>151.30000000000001</v>
      </c>
      <c r="AA293">
        <v>157.80000000000001</v>
      </c>
      <c r="AB293">
        <v>163.80000000000001</v>
      </c>
      <c r="AC293">
        <v>153.1</v>
      </c>
      <c r="AD293">
        <v>157.30000000000001</v>
      </c>
      <c r="AE293">
        <v>156.69999999999999</v>
      </c>
    </row>
    <row r="294" spans="1:31" x14ac:dyDescent="0.25">
      <c r="A294" t="s">
        <v>33</v>
      </c>
      <c r="B294">
        <v>2021</v>
      </c>
      <c r="C294" t="s">
        <v>36</v>
      </c>
      <c r="D294">
        <v>147.5</v>
      </c>
      <c r="E294">
        <v>197.5</v>
      </c>
      <c r="F294">
        <v>164.7</v>
      </c>
      <c r="G294">
        <v>155.6</v>
      </c>
      <c r="H294">
        <v>156.4</v>
      </c>
      <c r="I294">
        <v>157.30000000000001</v>
      </c>
      <c r="J294">
        <v>166.1</v>
      </c>
      <c r="K294">
        <v>161.1</v>
      </c>
      <c r="L294">
        <v>114.3</v>
      </c>
      <c r="M294">
        <v>162.6</v>
      </c>
      <c r="N294">
        <f t="shared" si="4"/>
        <v>158.30999999999997</v>
      </c>
      <c r="O294">
        <v>150.69999999999999</v>
      </c>
      <c r="P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row>
    <row r="295" spans="1:31"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f t="shared" si="4"/>
        <v>155.79999999999998</v>
      </c>
      <c r="O295">
        <v>156.5</v>
      </c>
      <c r="P295">
        <v>168.2</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row>
    <row r="296" spans="1:31" x14ac:dyDescent="0.25">
      <c r="A296" t="s">
        <v>30</v>
      </c>
      <c r="B296">
        <v>2021</v>
      </c>
      <c r="C296" t="s">
        <v>37</v>
      </c>
      <c r="D296">
        <v>142.69999999999999</v>
      </c>
      <c r="E296">
        <v>195.5</v>
      </c>
      <c r="F296">
        <v>163.4</v>
      </c>
      <c r="G296">
        <v>155</v>
      </c>
      <c r="H296">
        <v>175.2</v>
      </c>
      <c r="I296">
        <v>160.6</v>
      </c>
      <c r="J296">
        <v>135.1</v>
      </c>
      <c r="K296">
        <v>161.1</v>
      </c>
      <c r="L296">
        <v>112.2</v>
      </c>
      <c r="M296">
        <v>164.4</v>
      </c>
      <c r="N296">
        <f t="shared" si="4"/>
        <v>156.52000000000001</v>
      </c>
      <c r="O296">
        <v>161.9</v>
      </c>
      <c r="P296">
        <v>166.8</v>
      </c>
      <c r="Q296">
        <v>155.6</v>
      </c>
      <c r="R296">
        <v>186.8</v>
      </c>
      <c r="S296">
        <v>160.69999999999999</v>
      </c>
      <c r="T296">
        <v>155.1</v>
      </c>
      <c r="U296">
        <v>159.9</v>
      </c>
      <c r="V296">
        <v>139.25</v>
      </c>
      <c r="W296">
        <v>156</v>
      </c>
      <c r="X296">
        <v>155.5</v>
      </c>
      <c r="Y296">
        <v>165.3</v>
      </c>
      <c r="Z296">
        <v>151.69999999999999</v>
      </c>
      <c r="AA296">
        <v>158.6</v>
      </c>
      <c r="AB296">
        <v>164.1</v>
      </c>
      <c r="AC296">
        <v>154.6</v>
      </c>
      <c r="AD296">
        <v>158</v>
      </c>
      <c r="AE296">
        <v>157.6</v>
      </c>
    </row>
    <row r="297" spans="1:31" x14ac:dyDescent="0.25">
      <c r="A297" t="s">
        <v>33</v>
      </c>
      <c r="B297">
        <v>2021</v>
      </c>
      <c r="C297" t="s">
        <v>37</v>
      </c>
      <c r="D297">
        <v>147.6</v>
      </c>
      <c r="E297">
        <v>202.5</v>
      </c>
      <c r="F297">
        <v>166.4</v>
      </c>
      <c r="G297">
        <v>156</v>
      </c>
      <c r="H297">
        <v>161.4</v>
      </c>
      <c r="I297">
        <v>168.8</v>
      </c>
      <c r="J297">
        <v>161.6</v>
      </c>
      <c r="K297">
        <v>162.80000000000001</v>
      </c>
      <c r="L297">
        <v>114.8</v>
      </c>
      <c r="M297">
        <v>162.80000000000001</v>
      </c>
      <c r="N297">
        <f t="shared" si="4"/>
        <v>160.46999999999997</v>
      </c>
      <c r="O297">
        <v>151.5</v>
      </c>
      <c r="P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row>
    <row r="298" spans="1:31" x14ac:dyDescent="0.25">
      <c r="A298" t="s">
        <v>34</v>
      </c>
      <c r="B298">
        <v>2021</v>
      </c>
      <c r="C298" t="s">
        <v>37</v>
      </c>
      <c r="D298">
        <v>144.30000000000001</v>
      </c>
      <c r="E298">
        <v>198</v>
      </c>
      <c r="F298">
        <v>164.6</v>
      </c>
      <c r="G298">
        <v>155.4</v>
      </c>
      <c r="H298">
        <v>170.1</v>
      </c>
      <c r="I298">
        <v>164.4</v>
      </c>
      <c r="J298">
        <v>144.1</v>
      </c>
      <c r="K298">
        <v>161.69999999999999</v>
      </c>
      <c r="L298">
        <v>113.1</v>
      </c>
      <c r="M298">
        <v>163.9</v>
      </c>
      <c r="N298">
        <f t="shared" si="4"/>
        <v>157.95999999999998</v>
      </c>
      <c r="O298">
        <v>157.6</v>
      </c>
      <c r="P298">
        <v>168.9</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row>
    <row r="299" spans="1:31" x14ac:dyDescent="0.25">
      <c r="A299" t="s">
        <v>30</v>
      </c>
      <c r="B299">
        <v>2021</v>
      </c>
      <c r="C299" t="s">
        <v>38</v>
      </c>
      <c r="D299">
        <v>145.1</v>
      </c>
      <c r="E299">
        <v>198.5</v>
      </c>
      <c r="F299">
        <v>168.6</v>
      </c>
      <c r="G299">
        <v>155.80000000000001</v>
      </c>
      <c r="H299">
        <v>184.4</v>
      </c>
      <c r="I299">
        <v>162.30000000000001</v>
      </c>
      <c r="J299">
        <v>138.4</v>
      </c>
      <c r="K299">
        <v>165.1</v>
      </c>
      <c r="L299">
        <v>114.3</v>
      </c>
      <c r="M299">
        <v>169.7</v>
      </c>
      <c r="N299">
        <f t="shared" si="4"/>
        <v>160.22</v>
      </c>
      <c r="O299">
        <v>164.6</v>
      </c>
      <c r="P299">
        <v>169.8</v>
      </c>
      <c r="Q299">
        <v>158.69999999999999</v>
      </c>
      <c r="R299">
        <v>189.6</v>
      </c>
      <c r="S299">
        <v>165.3</v>
      </c>
      <c r="T299">
        <v>160.6</v>
      </c>
      <c r="U299">
        <v>164.5</v>
      </c>
      <c r="V299">
        <v>139.25</v>
      </c>
      <c r="W299">
        <v>161.69999999999999</v>
      </c>
      <c r="X299">
        <v>158.80000000000001</v>
      </c>
      <c r="Y299">
        <v>169.1</v>
      </c>
      <c r="Z299">
        <v>153.19999999999999</v>
      </c>
      <c r="AA299">
        <v>160</v>
      </c>
      <c r="AB299">
        <v>167.6</v>
      </c>
      <c r="AC299">
        <v>159.30000000000001</v>
      </c>
      <c r="AD299">
        <v>161.1</v>
      </c>
      <c r="AE299">
        <v>161.1</v>
      </c>
    </row>
    <row r="300" spans="1:31" x14ac:dyDescent="0.25">
      <c r="A300" t="s">
        <v>33</v>
      </c>
      <c r="B300">
        <v>2021</v>
      </c>
      <c r="C300" t="s">
        <v>38</v>
      </c>
      <c r="D300">
        <v>148.80000000000001</v>
      </c>
      <c r="E300">
        <v>204.3</v>
      </c>
      <c r="F300">
        <v>173</v>
      </c>
      <c r="G300">
        <v>156.5</v>
      </c>
      <c r="H300">
        <v>168.8</v>
      </c>
      <c r="I300">
        <v>172.5</v>
      </c>
      <c r="J300">
        <v>166.5</v>
      </c>
      <c r="K300">
        <v>165.9</v>
      </c>
      <c r="L300">
        <v>115.9</v>
      </c>
      <c r="M300">
        <v>165.2</v>
      </c>
      <c r="N300">
        <f t="shared" si="4"/>
        <v>163.74000000000004</v>
      </c>
      <c r="O300">
        <v>152</v>
      </c>
      <c r="P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row>
    <row r="301" spans="1:31" x14ac:dyDescent="0.25">
      <c r="A301" t="s">
        <v>34</v>
      </c>
      <c r="B301">
        <v>2021</v>
      </c>
      <c r="C301" t="s">
        <v>38</v>
      </c>
      <c r="D301">
        <v>146.30000000000001</v>
      </c>
      <c r="E301">
        <v>200.5</v>
      </c>
      <c r="F301">
        <v>170.3</v>
      </c>
      <c r="G301">
        <v>156.1</v>
      </c>
      <c r="H301">
        <v>178.7</v>
      </c>
      <c r="I301">
        <v>167.1</v>
      </c>
      <c r="J301">
        <v>147.9</v>
      </c>
      <c r="K301">
        <v>165.4</v>
      </c>
      <c r="L301">
        <v>114.8</v>
      </c>
      <c r="M301">
        <v>168.2</v>
      </c>
      <c r="N301">
        <f t="shared" si="4"/>
        <v>161.53000000000003</v>
      </c>
      <c r="O301">
        <v>159.30000000000001</v>
      </c>
      <c r="P301">
        <v>170.4</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row>
    <row r="302" spans="1:31" x14ac:dyDescent="0.25">
      <c r="A302" t="s">
        <v>30</v>
      </c>
      <c r="B302">
        <v>2021</v>
      </c>
      <c r="C302" t="s">
        <v>39</v>
      </c>
      <c r="D302">
        <v>145.6</v>
      </c>
      <c r="E302">
        <v>200.1</v>
      </c>
      <c r="F302">
        <v>179.3</v>
      </c>
      <c r="G302">
        <v>156.1</v>
      </c>
      <c r="H302">
        <v>190.4</v>
      </c>
      <c r="I302">
        <v>158.6</v>
      </c>
      <c r="J302">
        <v>144.69999999999999</v>
      </c>
      <c r="K302">
        <v>165.5</v>
      </c>
      <c r="L302">
        <v>114.6</v>
      </c>
      <c r="M302">
        <v>170</v>
      </c>
      <c r="N302">
        <f t="shared" si="4"/>
        <v>162.48999999999998</v>
      </c>
      <c r="O302">
        <v>165.5</v>
      </c>
      <c r="P302">
        <v>171.7</v>
      </c>
      <c r="Q302">
        <v>160.5</v>
      </c>
      <c r="R302">
        <v>189.1</v>
      </c>
      <c r="S302">
        <v>165.3</v>
      </c>
      <c r="T302">
        <v>159.9</v>
      </c>
      <c r="U302">
        <v>164.6</v>
      </c>
      <c r="V302">
        <v>139.25</v>
      </c>
      <c r="W302">
        <v>162.1</v>
      </c>
      <c r="X302">
        <v>159.19999999999999</v>
      </c>
      <c r="Y302">
        <v>169.7</v>
      </c>
      <c r="Z302">
        <v>154.19999999999999</v>
      </c>
      <c r="AA302">
        <v>160.4</v>
      </c>
      <c r="AB302">
        <v>166.8</v>
      </c>
      <c r="AC302">
        <v>159.4</v>
      </c>
      <c r="AD302">
        <v>161.5</v>
      </c>
      <c r="AE302">
        <v>162.1</v>
      </c>
    </row>
    <row r="303" spans="1:31" x14ac:dyDescent="0.25">
      <c r="A303" t="s">
        <v>33</v>
      </c>
      <c r="B303">
        <v>2021</v>
      </c>
      <c r="C303" t="s">
        <v>39</v>
      </c>
      <c r="D303">
        <v>149.19999999999999</v>
      </c>
      <c r="E303">
        <v>205.5</v>
      </c>
      <c r="F303">
        <v>182.8</v>
      </c>
      <c r="G303">
        <v>156.5</v>
      </c>
      <c r="H303">
        <v>172.2</v>
      </c>
      <c r="I303">
        <v>171.5</v>
      </c>
      <c r="J303">
        <v>176.2</v>
      </c>
      <c r="K303">
        <v>166.9</v>
      </c>
      <c r="L303">
        <v>116.1</v>
      </c>
      <c r="M303">
        <v>165.5</v>
      </c>
      <c r="N303">
        <f t="shared" si="4"/>
        <v>166.24</v>
      </c>
      <c r="O303">
        <v>152.30000000000001</v>
      </c>
      <c r="P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row>
    <row r="304" spans="1:31" x14ac:dyDescent="0.25">
      <c r="A304" t="s">
        <v>34</v>
      </c>
      <c r="B304">
        <v>2021</v>
      </c>
      <c r="C304" t="s">
        <v>39</v>
      </c>
      <c r="D304">
        <v>146.69999999999999</v>
      </c>
      <c r="E304">
        <v>202</v>
      </c>
      <c r="F304">
        <v>180.7</v>
      </c>
      <c r="G304">
        <v>156.19999999999999</v>
      </c>
      <c r="H304">
        <v>183.7</v>
      </c>
      <c r="I304">
        <v>164.6</v>
      </c>
      <c r="J304">
        <v>155.4</v>
      </c>
      <c r="K304">
        <v>166</v>
      </c>
      <c r="L304">
        <v>115.1</v>
      </c>
      <c r="M304">
        <v>168.5</v>
      </c>
      <c r="N304">
        <f t="shared" si="4"/>
        <v>163.89</v>
      </c>
      <c r="O304">
        <v>160</v>
      </c>
      <c r="P304">
        <v>172.4</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row>
    <row r="305" spans="1:31" x14ac:dyDescent="0.25">
      <c r="A305" t="s">
        <v>30</v>
      </c>
      <c r="B305">
        <v>2021</v>
      </c>
      <c r="C305" t="s">
        <v>40</v>
      </c>
      <c r="D305">
        <v>145.1</v>
      </c>
      <c r="E305">
        <v>204.5</v>
      </c>
      <c r="F305">
        <v>180.4</v>
      </c>
      <c r="G305">
        <v>157.1</v>
      </c>
      <c r="H305">
        <v>188.7</v>
      </c>
      <c r="I305">
        <v>157.69999999999999</v>
      </c>
      <c r="J305">
        <v>152.80000000000001</v>
      </c>
      <c r="K305">
        <v>163.6</v>
      </c>
      <c r="L305">
        <v>113.9</v>
      </c>
      <c r="M305">
        <v>169.7</v>
      </c>
      <c r="N305">
        <f t="shared" si="4"/>
        <v>163.35</v>
      </c>
      <c r="O305">
        <v>166.2</v>
      </c>
      <c r="P305">
        <v>171</v>
      </c>
      <c r="Q305">
        <v>161.69999999999999</v>
      </c>
      <c r="R305">
        <v>189.7</v>
      </c>
      <c r="S305">
        <v>166</v>
      </c>
      <c r="T305">
        <v>161.1</v>
      </c>
      <c r="U305">
        <v>165.3</v>
      </c>
      <c r="V305">
        <v>139.25</v>
      </c>
      <c r="W305">
        <v>162.5</v>
      </c>
      <c r="X305">
        <v>160.30000000000001</v>
      </c>
      <c r="Y305">
        <v>170.4</v>
      </c>
      <c r="Z305">
        <v>157.1</v>
      </c>
      <c r="AA305">
        <v>160.69999999999999</v>
      </c>
      <c r="AB305">
        <v>167.2</v>
      </c>
      <c r="AC305">
        <v>160.4</v>
      </c>
      <c r="AD305">
        <v>162.80000000000001</v>
      </c>
      <c r="AE305">
        <v>163.19999999999999</v>
      </c>
    </row>
    <row r="306" spans="1:31" x14ac:dyDescent="0.25">
      <c r="A306" t="s">
        <v>33</v>
      </c>
      <c r="B306">
        <v>2021</v>
      </c>
      <c r="C306" t="s">
        <v>40</v>
      </c>
      <c r="D306">
        <v>149.1</v>
      </c>
      <c r="E306">
        <v>210.9</v>
      </c>
      <c r="F306">
        <v>185</v>
      </c>
      <c r="G306">
        <v>158.19999999999999</v>
      </c>
      <c r="H306">
        <v>170.6</v>
      </c>
      <c r="I306">
        <v>170.9</v>
      </c>
      <c r="J306">
        <v>186.4</v>
      </c>
      <c r="K306">
        <v>164.7</v>
      </c>
      <c r="L306">
        <v>115.7</v>
      </c>
      <c r="M306">
        <v>165.5</v>
      </c>
      <c r="N306">
        <f t="shared" si="4"/>
        <v>167.70000000000002</v>
      </c>
      <c r="O306">
        <v>153.4</v>
      </c>
      <c r="P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row>
    <row r="307" spans="1:31" x14ac:dyDescent="0.25">
      <c r="A307" t="s">
        <v>34</v>
      </c>
      <c r="B307">
        <v>2021</v>
      </c>
      <c r="C307" t="s">
        <v>40</v>
      </c>
      <c r="D307">
        <v>146.4</v>
      </c>
      <c r="E307">
        <v>206.8</v>
      </c>
      <c r="F307">
        <v>182.2</v>
      </c>
      <c r="G307">
        <v>157.5</v>
      </c>
      <c r="H307">
        <v>182.1</v>
      </c>
      <c r="I307">
        <v>163.9</v>
      </c>
      <c r="J307">
        <v>164.2</v>
      </c>
      <c r="K307">
        <v>164</v>
      </c>
      <c r="L307">
        <v>114.5</v>
      </c>
      <c r="M307">
        <v>168.3</v>
      </c>
      <c r="N307">
        <f t="shared" si="4"/>
        <v>164.99</v>
      </c>
      <c r="O307">
        <v>160.9</v>
      </c>
      <c r="P307">
        <v>172.2</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row>
    <row r="308" spans="1:31" x14ac:dyDescent="0.25">
      <c r="A308" t="s">
        <v>30</v>
      </c>
      <c r="B308">
        <v>2021</v>
      </c>
      <c r="C308" t="s">
        <v>41</v>
      </c>
      <c r="D308">
        <v>144.9</v>
      </c>
      <c r="E308">
        <v>202.3</v>
      </c>
      <c r="F308">
        <v>176.5</v>
      </c>
      <c r="G308">
        <v>157.5</v>
      </c>
      <c r="H308">
        <v>190.9</v>
      </c>
      <c r="I308">
        <v>155.69999999999999</v>
      </c>
      <c r="J308">
        <v>153.9</v>
      </c>
      <c r="K308">
        <v>162.80000000000001</v>
      </c>
      <c r="L308">
        <v>115.2</v>
      </c>
      <c r="M308">
        <v>169.8</v>
      </c>
      <c r="N308">
        <f t="shared" si="4"/>
        <v>162.94999999999999</v>
      </c>
      <c r="O308">
        <v>167.6</v>
      </c>
      <c r="P308">
        <v>171.9</v>
      </c>
      <c r="Q308">
        <v>161.80000000000001</v>
      </c>
      <c r="R308">
        <v>190.2</v>
      </c>
      <c r="S308">
        <v>167</v>
      </c>
      <c r="T308">
        <v>162.6</v>
      </c>
      <c r="U308">
        <v>166.3</v>
      </c>
      <c r="V308">
        <v>139.25</v>
      </c>
      <c r="W308">
        <v>163.1</v>
      </c>
      <c r="X308">
        <v>160.9</v>
      </c>
      <c r="Y308">
        <v>171.1</v>
      </c>
      <c r="Z308">
        <v>157.69999999999999</v>
      </c>
      <c r="AA308">
        <v>161.1</v>
      </c>
      <c r="AB308">
        <v>167.5</v>
      </c>
      <c r="AC308">
        <v>160.30000000000001</v>
      </c>
      <c r="AD308">
        <v>163.30000000000001</v>
      </c>
      <c r="AE308">
        <v>163.6</v>
      </c>
    </row>
    <row r="309" spans="1:31"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f t="shared" si="4"/>
        <v>166.07</v>
      </c>
      <c r="O309">
        <v>154.80000000000001</v>
      </c>
      <c r="P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row>
    <row r="310" spans="1:31" x14ac:dyDescent="0.25">
      <c r="A310" t="s">
        <v>34</v>
      </c>
      <c r="B310">
        <v>2021</v>
      </c>
      <c r="C310" t="s">
        <v>41</v>
      </c>
      <c r="D310">
        <v>146.6</v>
      </c>
      <c r="E310">
        <v>204</v>
      </c>
      <c r="F310">
        <v>172.8</v>
      </c>
      <c r="G310">
        <v>158.4</v>
      </c>
      <c r="H310">
        <v>188</v>
      </c>
      <c r="I310">
        <v>156.80000000000001</v>
      </c>
      <c r="J310">
        <v>162.19999999999999</v>
      </c>
      <c r="K310">
        <v>164.1</v>
      </c>
      <c r="L310">
        <v>119.7</v>
      </c>
      <c r="M310">
        <v>168.8</v>
      </c>
      <c r="N310">
        <f t="shared" si="4"/>
        <v>164.14000000000001</v>
      </c>
      <c r="O310">
        <v>162.69999999999999</v>
      </c>
      <c r="P310">
        <v>173.9</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row>
    <row r="311" spans="1:31" x14ac:dyDescent="0.25">
      <c r="A311" t="s">
        <v>30</v>
      </c>
      <c r="B311">
        <v>2021</v>
      </c>
      <c r="C311" t="s">
        <v>42</v>
      </c>
      <c r="D311">
        <v>145.4</v>
      </c>
      <c r="E311">
        <v>202.1</v>
      </c>
      <c r="F311">
        <v>172</v>
      </c>
      <c r="G311">
        <v>158</v>
      </c>
      <c r="H311">
        <v>195.5</v>
      </c>
      <c r="I311">
        <v>152.69999999999999</v>
      </c>
      <c r="J311">
        <v>151.4</v>
      </c>
      <c r="K311">
        <v>163.9</v>
      </c>
      <c r="L311">
        <v>119.3</v>
      </c>
      <c r="M311">
        <v>170.1</v>
      </c>
      <c r="N311">
        <f t="shared" si="4"/>
        <v>163.04000000000002</v>
      </c>
      <c r="O311">
        <v>168.3</v>
      </c>
      <c r="P311">
        <v>172.8</v>
      </c>
      <c r="Q311">
        <v>162.1</v>
      </c>
      <c r="R311">
        <v>190.5</v>
      </c>
      <c r="S311">
        <v>167.7</v>
      </c>
      <c r="T311">
        <v>163.6</v>
      </c>
      <c r="U311">
        <v>167.1</v>
      </c>
      <c r="V311">
        <v>139.25</v>
      </c>
      <c r="W311">
        <v>163.69999999999999</v>
      </c>
      <c r="X311">
        <v>161.30000000000001</v>
      </c>
      <c r="Y311">
        <v>171.9</v>
      </c>
      <c r="Z311">
        <v>157.80000000000001</v>
      </c>
      <c r="AA311">
        <v>162.69999999999999</v>
      </c>
      <c r="AB311">
        <v>168.5</v>
      </c>
      <c r="AC311">
        <v>160.19999999999999</v>
      </c>
      <c r="AD311">
        <v>163.80000000000001</v>
      </c>
      <c r="AE311">
        <v>164</v>
      </c>
    </row>
    <row r="312" spans="1:31" x14ac:dyDescent="0.25">
      <c r="A312" t="s">
        <v>33</v>
      </c>
      <c r="B312">
        <v>2021</v>
      </c>
      <c r="C312" t="s">
        <v>42</v>
      </c>
      <c r="D312">
        <v>149.30000000000001</v>
      </c>
      <c r="E312">
        <v>207.4</v>
      </c>
      <c r="F312">
        <v>174.1</v>
      </c>
      <c r="G312">
        <v>159.1</v>
      </c>
      <c r="H312">
        <v>175</v>
      </c>
      <c r="I312">
        <v>161.19999999999999</v>
      </c>
      <c r="J312">
        <v>183.5</v>
      </c>
      <c r="K312">
        <v>164.5</v>
      </c>
      <c r="L312">
        <v>120.4</v>
      </c>
      <c r="M312">
        <v>166.2</v>
      </c>
      <c r="N312">
        <f t="shared" si="4"/>
        <v>166.07000000000002</v>
      </c>
      <c r="O312">
        <v>154.80000000000001</v>
      </c>
      <c r="P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row>
    <row r="313" spans="1:31" x14ac:dyDescent="0.25">
      <c r="A313" t="s">
        <v>34</v>
      </c>
      <c r="B313">
        <v>2021</v>
      </c>
      <c r="C313" t="s">
        <v>42</v>
      </c>
      <c r="D313">
        <v>146.6</v>
      </c>
      <c r="E313">
        <v>204</v>
      </c>
      <c r="F313">
        <v>172.8</v>
      </c>
      <c r="G313">
        <v>158.4</v>
      </c>
      <c r="H313">
        <v>188</v>
      </c>
      <c r="I313">
        <v>156.69999999999999</v>
      </c>
      <c r="J313">
        <v>162.30000000000001</v>
      </c>
      <c r="K313">
        <v>164.1</v>
      </c>
      <c r="L313">
        <v>119.7</v>
      </c>
      <c r="M313">
        <v>168.8</v>
      </c>
      <c r="N313">
        <f t="shared" si="4"/>
        <v>164.14</v>
      </c>
      <c r="O313">
        <v>162.69999999999999</v>
      </c>
      <c r="P313">
        <v>173.9</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row>
    <row r="314" spans="1:31" x14ac:dyDescent="0.25">
      <c r="A314" t="s">
        <v>30</v>
      </c>
      <c r="B314">
        <v>2021</v>
      </c>
      <c r="C314" t="s">
        <v>43</v>
      </c>
      <c r="D314">
        <v>146.1</v>
      </c>
      <c r="E314">
        <v>202.5</v>
      </c>
      <c r="F314">
        <v>170.1</v>
      </c>
      <c r="G314">
        <v>158.4</v>
      </c>
      <c r="H314">
        <v>198.8</v>
      </c>
      <c r="I314">
        <v>152.6</v>
      </c>
      <c r="J314">
        <v>170.4</v>
      </c>
      <c r="K314">
        <v>165.2</v>
      </c>
      <c r="L314">
        <v>121.6</v>
      </c>
      <c r="M314">
        <v>170.6</v>
      </c>
      <c r="N314">
        <f t="shared" si="4"/>
        <v>165.63</v>
      </c>
      <c r="O314">
        <v>168.8</v>
      </c>
      <c r="P314">
        <v>173.6</v>
      </c>
      <c r="Q314">
        <v>165.5</v>
      </c>
      <c r="R314">
        <v>191.2</v>
      </c>
      <c r="S314">
        <v>168.9</v>
      </c>
      <c r="T314">
        <v>164.8</v>
      </c>
      <c r="U314">
        <v>168.3</v>
      </c>
      <c r="V314">
        <v>139.25</v>
      </c>
      <c r="W314">
        <v>165.5</v>
      </c>
      <c r="X314">
        <v>162</v>
      </c>
      <c r="Y314">
        <v>172.5</v>
      </c>
      <c r="Z314">
        <v>159.5</v>
      </c>
      <c r="AA314">
        <v>163.19999999999999</v>
      </c>
      <c r="AB314">
        <v>169</v>
      </c>
      <c r="AC314">
        <v>161.1</v>
      </c>
      <c r="AD314">
        <v>164.7</v>
      </c>
      <c r="AE314">
        <v>166.3</v>
      </c>
    </row>
    <row r="315" spans="1:31" x14ac:dyDescent="0.25">
      <c r="A315" t="s">
        <v>33</v>
      </c>
      <c r="B315">
        <v>2021</v>
      </c>
      <c r="C315" t="s">
        <v>43</v>
      </c>
      <c r="D315">
        <v>150.1</v>
      </c>
      <c r="E315">
        <v>208.4</v>
      </c>
      <c r="F315">
        <v>173</v>
      </c>
      <c r="G315">
        <v>159.19999999999999</v>
      </c>
      <c r="H315">
        <v>176.6</v>
      </c>
      <c r="I315">
        <v>159.30000000000001</v>
      </c>
      <c r="J315">
        <v>214.4</v>
      </c>
      <c r="K315">
        <v>165.3</v>
      </c>
      <c r="L315">
        <v>122.5</v>
      </c>
      <c r="M315">
        <v>166.8</v>
      </c>
      <c r="N315">
        <f t="shared" si="4"/>
        <v>169.56</v>
      </c>
      <c r="O315">
        <v>155.4</v>
      </c>
      <c r="P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row>
    <row r="316" spans="1:31" x14ac:dyDescent="0.25">
      <c r="A316" t="s">
        <v>34</v>
      </c>
      <c r="B316">
        <v>2021</v>
      </c>
      <c r="C316" t="s">
        <v>43</v>
      </c>
      <c r="D316">
        <v>147.4</v>
      </c>
      <c r="E316">
        <v>204.6</v>
      </c>
      <c r="F316">
        <v>171.2</v>
      </c>
      <c r="G316">
        <v>158.69999999999999</v>
      </c>
      <c r="H316">
        <v>190.6</v>
      </c>
      <c r="I316">
        <v>155.69999999999999</v>
      </c>
      <c r="J316">
        <v>185.3</v>
      </c>
      <c r="K316">
        <v>165.2</v>
      </c>
      <c r="L316">
        <v>121.9</v>
      </c>
      <c r="M316">
        <v>169.3</v>
      </c>
      <c r="N316">
        <f t="shared" si="4"/>
        <v>166.99</v>
      </c>
      <c r="O316">
        <v>163.19999999999999</v>
      </c>
      <c r="P316">
        <v>174.7</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row>
    <row r="317" spans="1:31" x14ac:dyDescent="0.25">
      <c r="A317" t="s">
        <v>30</v>
      </c>
      <c r="B317">
        <v>2021</v>
      </c>
      <c r="C317" t="s">
        <v>45</v>
      </c>
      <c r="D317">
        <v>146.9</v>
      </c>
      <c r="E317">
        <v>199.8</v>
      </c>
      <c r="F317">
        <v>171.5</v>
      </c>
      <c r="G317">
        <v>159.1</v>
      </c>
      <c r="H317">
        <v>198.4</v>
      </c>
      <c r="I317">
        <v>153.19999999999999</v>
      </c>
      <c r="J317">
        <v>183.9</v>
      </c>
      <c r="K317">
        <v>165.4</v>
      </c>
      <c r="L317">
        <v>122.1</v>
      </c>
      <c r="M317">
        <v>170.8</v>
      </c>
      <c r="N317">
        <f t="shared" si="4"/>
        <v>167.11</v>
      </c>
      <c r="O317">
        <v>169.1</v>
      </c>
      <c r="P317">
        <v>174.3</v>
      </c>
      <c r="Q317">
        <v>167.5</v>
      </c>
      <c r="R317">
        <v>191.4</v>
      </c>
      <c r="S317">
        <v>170.4</v>
      </c>
      <c r="T317">
        <v>166</v>
      </c>
      <c r="U317">
        <v>169.8</v>
      </c>
      <c r="V317">
        <v>139.25</v>
      </c>
      <c r="W317">
        <v>165.3</v>
      </c>
      <c r="X317">
        <v>162.9</v>
      </c>
      <c r="Y317">
        <v>173.4</v>
      </c>
      <c r="Z317">
        <v>158.9</v>
      </c>
      <c r="AA317">
        <v>163.80000000000001</v>
      </c>
      <c r="AB317">
        <v>169.3</v>
      </c>
      <c r="AC317">
        <v>162.4</v>
      </c>
      <c r="AD317">
        <v>165.2</v>
      </c>
      <c r="AE317">
        <v>167.6</v>
      </c>
    </row>
    <row r="318" spans="1:31" x14ac:dyDescent="0.25">
      <c r="A318" t="s">
        <v>33</v>
      </c>
      <c r="B318">
        <v>2021</v>
      </c>
      <c r="C318" t="s">
        <v>45</v>
      </c>
      <c r="D318">
        <v>151</v>
      </c>
      <c r="E318">
        <v>204.9</v>
      </c>
      <c r="F318">
        <v>175.4</v>
      </c>
      <c r="G318">
        <v>159.6</v>
      </c>
      <c r="H318">
        <v>175.8</v>
      </c>
      <c r="I318">
        <v>160.30000000000001</v>
      </c>
      <c r="J318">
        <v>229.1</v>
      </c>
      <c r="K318">
        <v>165.1</v>
      </c>
      <c r="L318">
        <v>123.1</v>
      </c>
      <c r="M318">
        <v>167.2</v>
      </c>
      <c r="N318">
        <f t="shared" si="4"/>
        <v>171.14999999999998</v>
      </c>
      <c r="O318">
        <v>156.1</v>
      </c>
      <c r="P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row>
    <row r="319" spans="1:31" x14ac:dyDescent="0.25">
      <c r="A319" t="s">
        <v>34</v>
      </c>
      <c r="B319">
        <v>2021</v>
      </c>
      <c r="C319" t="s">
        <v>45</v>
      </c>
      <c r="D319">
        <v>148.19999999999999</v>
      </c>
      <c r="E319">
        <v>201.6</v>
      </c>
      <c r="F319">
        <v>173</v>
      </c>
      <c r="G319">
        <v>159.30000000000001</v>
      </c>
      <c r="H319">
        <v>190.1</v>
      </c>
      <c r="I319">
        <v>156.5</v>
      </c>
      <c r="J319">
        <v>199.2</v>
      </c>
      <c r="K319">
        <v>165.3</v>
      </c>
      <c r="L319">
        <v>122.4</v>
      </c>
      <c r="M319">
        <v>169.6</v>
      </c>
      <c r="N319">
        <f t="shared" si="4"/>
        <v>168.51999999999998</v>
      </c>
      <c r="O319">
        <v>163.69999999999999</v>
      </c>
      <c r="P319">
        <v>175.5</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row>
    <row r="320" spans="1:31" x14ac:dyDescent="0.25">
      <c r="A320" t="s">
        <v>30</v>
      </c>
      <c r="B320">
        <v>2021</v>
      </c>
      <c r="C320" t="s">
        <v>46</v>
      </c>
      <c r="D320">
        <v>147.4</v>
      </c>
      <c r="E320">
        <v>197</v>
      </c>
      <c r="F320">
        <v>176.5</v>
      </c>
      <c r="G320">
        <v>159.80000000000001</v>
      </c>
      <c r="H320">
        <v>195.8</v>
      </c>
      <c r="I320">
        <v>152</v>
      </c>
      <c r="J320">
        <v>172.3</v>
      </c>
      <c r="K320">
        <v>164.5</v>
      </c>
      <c r="L320">
        <v>120.6</v>
      </c>
      <c r="M320">
        <v>171.7</v>
      </c>
      <c r="N320">
        <f t="shared" si="4"/>
        <v>165.76</v>
      </c>
      <c r="O320">
        <v>169.7</v>
      </c>
      <c r="P320">
        <v>175.1</v>
      </c>
      <c r="Q320">
        <v>165.8</v>
      </c>
      <c r="R320">
        <v>190.8</v>
      </c>
      <c r="S320">
        <v>171.8</v>
      </c>
      <c r="T320">
        <v>167.3</v>
      </c>
      <c r="U320">
        <v>171.2</v>
      </c>
      <c r="V320">
        <v>139.25</v>
      </c>
      <c r="W320">
        <v>165.6</v>
      </c>
      <c r="X320">
        <v>163.9</v>
      </c>
      <c r="Y320">
        <v>174</v>
      </c>
      <c r="Z320">
        <v>160.1</v>
      </c>
      <c r="AA320">
        <v>164.5</v>
      </c>
      <c r="AB320">
        <v>169.7</v>
      </c>
      <c r="AC320">
        <v>162.80000000000001</v>
      </c>
      <c r="AD320">
        <v>166</v>
      </c>
      <c r="AE320">
        <v>167</v>
      </c>
    </row>
    <row r="321" spans="1:31" x14ac:dyDescent="0.25">
      <c r="A321" t="s">
        <v>33</v>
      </c>
      <c r="B321">
        <v>2021</v>
      </c>
      <c r="C321" t="s">
        <v>46</v>
      </c>
      <c r="D321">
        <v>151.6</v>
      </c>
      <c r="E321">
        <v>202.2</v>
      </c>
      <c r="F321">
        <v>180</v>
      </c>
      <c r="G321">
        <v>160</v>
      </c>
      <c r="H321">
        <v>173.5</v>
      </c>
      <c r="I321">
        <v>158.30000000000001</v>
      </c>
      <c r="J321">
        <v>219.5</v>
      </c>
      <c r="K321">
        <v>164.2</v>
      </c>
      <c r="L321">
        <v>121.9</v>
      </c>
      <c r="M321">
        <v>168.2</v>
      </c>
      <c r="N321">
        <f t="shared" si="4"/>
        <v>169.94</v>
      </c>
      <c r="O321">
        <v>156.5</v>
      </c>
      <c r="P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row>
    <row r="322" spans="1:31" x14ac:dyDescent="0.25">
      <c r="A322" t="s">
        <v>34</v>
      </c>
      <c r="B322">
        <v>2021</v>
      </c>
      <c r="C322" t="s">
        <v>46</v>
      </c>
      <c r="D322">
        <v>148.69999999999999</v>
      </c>
      <c r="E322">
        <v>198.8</v>
      </c>
      <c r="F322">
        <v>177.9</v>
      </c>
      <c r="G322">
        <v>159.9</v>
      </c>
      <c r="H322">
        <v>187.6</v>
      </c>
      <c r="I322">
        <v>154.9</v>
      </c>
      <c r="J322">
        <v>188.3</v>
      </c>
      <c r="K322">
        <v>164.4</v>
      </c>
      <c r="L322">
        <v>121</v>
      </c>
      <c r="M322">
        <v>170.5</v>
      </c>
      <c r="N322">
        <f t="shared" si="4"/>
        <v>167.2</v>
      </c>
      <c r="O322">
        <v>164.2</v>
      </c>
      <c r="P322">
        <v>176.5</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row>
    <row r="323" spans="1:31"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f t="shared" ref="N323:N373" si="5">AVERAGE(D323:M323)</f>
        <v>164.32999999999998</v>
      </c>
      <c r="O323">
        <v>169.8</v>
      </c>
      <c r="P323">
        <v>175.8</v>
      </c>
      <c r="Q323">
        <v>164.1</v>
      </c>
      <c r="R323">
        <v>190.7</v>
      </c>
      <c r="S323">
        <v>173.2</v>
      </c>
      <c r="T323">
        <v>169.3</v>
      </c>
      <c r="U323">
        <v>172.7</v>
      </c>
      <c r="V323">
        <v>139.25</v>
      </c>
      <c r="W323">
        <v>165.8</v>
      </c>
      <c r="X323">
        <v>164.9</v>
      </c>
      <c r="Y323">
        <v>174.7</v>
      </c>
      <c r="Z323">
        <v>160.80000000000001</v>
      </c>
      <c r="AA323">
        <v>164.9</v>
      </c>
      <c r="AB323">
        <v>169.9</v>
      </c>
      <c r="AC323">
        <v>163.19999999999999</v>
      </c>
      <c r="AD323">
        <v>166.6</v>
      </c>
      <c r="AE323">
        <v>166.4</v>
      </c>
    </row>
    <row r="324" spans="1:31" x14ac:dyDescent="0.25">
      <c r="A324" t="s">
        <v>33</v>
      </c>
      <c r="B324">
        <v>2022</v>
      </c>
      <c r="C324" t="s">
        <v>31</v>
      </c>
      <c r="D324">
        <v>152.19999999999999</v>
      </c>
      <c r="E324">
        <v>202.1</v>
      </c>
      <c r="F324">
        <v>180.1</v>
      </c>
      <c r="G324">
        <v>160.4</v>
      </c>
      <c r="H324">
        <v>171</v>
      </c>
      <c r="I324">
        <v>156.5</v>
      </c>
      <c r="J324">
        <v>203.6</v>
      </c>
      <c r="K324">
        <v>163.80000000000001</v>
      </c>
      <c r="L324">
        <v>121.3</v>
      </c>
      <c r="M324">
        <v>169.8</v>
      </c>
      <c r="N324">
        <f t="shared" si="5"/>
        <v>168.07999999999998</v>
      </c>
      <c r="O324">
        <v>156.6</v>
      </c>
      <c r="P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row>
    <row r="325" spans="1:31" x14ac:dyDescent="0.25">
      <c r="A325" t="s">
        <v>34</v>
      </c>
      <c r="B325">
        <v>2022</v>
      </c>
      <c r="C325" t="s">
        <v>31</v>
      </c>
      <c r="D325">
        <v>149.5</v>
      </c>
      <c r="E325">
        <v>198.7</v>
      </c>
      <c r="F325">
        <v>178.8</v>
      </c>
      <c r="G325">
        <v>160.5</v>
      </c>
      <c r="H325">
        <v>184.7</v>
      </c>
      <c r="I325">
        <v>153.69999999999999</v>
      </c>
      <c r="J325">
        <v>174.3</v>
      </c>
      <c r="K325">
        <v>163.9</v>
      </c>
      <c r="L325">
        <v>120</v>
      </c>
      <c r="M325">
        <v>172.1</v>
      </c>
      <c r="N325">
        <f t="shared" si="5"/>
        <v>165.62</v>
      </c>
      <c r="O325">
        <v>164.3</v>
      </c>
      <c r="P325">
        <v>177.3</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row>
    <row r="326" spans="1:31"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f t="shared" si="5"/>
        <v>163.97</v>
      </c>
      <c r="O326">
        <v>170.5</v>
      </c>
      <c r="P326">
        <v>176.3</v>
      </c>
      <c r="Q326">
        <v>163.9</v>
      </c>
      <c r="R326">
        <v>191.5</v>
      </c>
      <c r="S326">
        <v>174.1</v>
      </c>
      <c r="T326">
        <v>171</v>
      </c>
      <c r="U326">
        <v>173.7</v>
      </c>
      <c r="V326">
        <v>139.25</v>
      </c>
      <c r="W326">
        <v>167.4</v>
      </c>
      <c r="X326">
        <v>165.7</v>
      </c>
      <c r="Y326">
        <v>175.3</v>
      </c>
      <c r="Z326">
        <v>161.19999999999999</v>
      </c>
      <c r="AA326">
        <v>165.5</v>
      </c>
      <c r="AB326">
        <v>170.3</v>
      </c>
      <c r="AC326">
        <v>164.5</v>
      </c>
      <c r="AD326">
        <v>167.3</v>
      </c>
      <c r="AE326">
        <v>166.7</v>
      </c>
    </row>
    <row r="327" spans="1:31" x14ac:dyDescent="0.25">
      <c r="A327" t="s">
        <v>33</v>
      </c>
      <c r="B327">
        <v>2022</v>
      </c>
      <c r="C327" t="s">
        <v>35</v>
      </c>
      <c r="D327">
        <v>152.5</v>
      </c>
      <c r="E327">
        <v>205.2</v>
      </c>
      <c r="F327">
        <v>176.4</v>
      </c>
      <c r="G327">
        <v>160.6</v>
      </c>
      <c r="H327">
        <v>171.5</v>
      </c>
      <c r="I327">
        <v>156.4</v>
      </c>
      <c r="J327">
        <v>198</v>
      </c>
      <c r="K327">
        <v>163.19999999999999</v>
      </c>
      <c r="L327">
        <v>120.6</v>
      </c>
      <c r="M327">
        <v>172.2</v>
      </c>
      <c r="N327">
        <f t="shared" si="5"/>
        <v>167.66</v>
      </c>
      <c r="O327">
        <v>156.69999999999999</v>
      </c>
      <c r="P327">
        <v>180</v>
      </c>
      <c r="Q327">
        <v>170.2</v>
      </c>
      <c r="R327">
        <v>196.5</v>
      </c>
      <c r="S327">
        <v>165.7</v>
      </c>
      <c r="T327">
        <v>150.4</v>
      </c>
      <c r="U327">
        <v>163.4</v>
      </c>
      <c r="V327">
        <v>165.5</v>
      </c>
      <c r="W327">
        <v>163</v>
      </c>
      <c r="X327">
        <v>157.4</v>
      </c>
      <c r="Y327">
        <v>167.2</v>
      </c>
      <c r="Z327">
        <v>153.1</v>
      </c>
      <c r="AA327">
        <v>159.5</v>
      </c>
      <c r="AB327">
        <v>162</v>
      </c>
      <c r="AC327">
        <v>164.2</v>
      </c>
      <c r="AD327">
        <v>159.4</v>
      </c>
      <c r="AE327">
        <v>165.5</v>
      </c>
    </row>
    <row r="328" spans="1:31"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f t="shared" si="5"/>
        <v>165.23000000000002</v>
      </c>
      <c r="O328">
        <v>164.7</v>
      </c>
      <c r="P328">
        <v>178</v>
      </c>
      <c r="Q328">
        <v>166.2</v>
      </c>
      <c r="R328">
        <v>192.8</v>
      </c>
      <c r="S328">
        <v>170.8</v>
      </c>
      <c r="T328">
        <v>162.4</v>
      </c>
      <c r="U328">
        <v>169.6</v>
      </c>
      <c r="V328">
        <v>165.5</v>
      </c>
      <c r="W328">
        <v>165.7</v>
      </c>
      <c r="X328">
        <v>161.80000000000001</v>
      </c>
      <c r="Y328">
        <v>172.2</v>
      </c>
      <c r="Z328">
        <v>156.9</v>
      </c>
      <c r="AA328">
        <v>162.1</v>
      </c>
      <c r="AB328">
        <v>165.4</v>
      </c>
      <c r="AC328">
        <v>164.4</v>
      </c>
      <c r="AD328">
        <v>163.5</v>
      </c>
      <c r="AE328">
        <v>166.1</v>
      </c>
    </row>
    <row r="329" spans="1:31" x14ac:dyDescent="0.25">
      <c r="A329" t="s">
        <v>30</v>
      </c>
      <c r="B329">
        <v>2022</v>
      </c>
      <c r="C329" t="s">
        <v>36</v>
      </c>
      <c r="D329">
        <v>150.19999999999999</v>
      </c>
      <c r="E329">
        <v>208</v>
      </c>
      <c r="F329">
        <v>167.9</v>
      </c>
      <c r="G329">
        <v>162</v>
      </c>
      <c r="H329">
        <v>203.1</v>
      </c>
      <c r="I329">
        <v>155.9</v>
      </c>
      <c r="J329">
        <v>155.80000000000001</v>
      </c>
      <c r="K329">
        <v>164.2</v>
      </c>
      <c r="L329">
        <v>118.1</v>
      </c>
      <c r="M329">
        <v>178.7</v>
      </c>
      <c r="N329">
        <f t="shared" si="5"/>
        <v>166.39000000000001</v>
      </c>
      <c r="O329">
        <v>171.2</v>
      </c>
      <c r="P329">
        <v>177.4</v>
      </c>
      <c r="Q329">
        <v>166.6</v>
      </c>
      <c r="R329">
        <v>192.3</v>
      </c>
      <c r="S329">
        <v>175.4</v>
      </c>
      <c r="T329">
        <v>173.2</v>
      </c>
      <c r="U329">
        <v>175.1</v>
      </c>
      <c r="V329">
        <v>139.25</v>
      </c>
      <c r="W329">
        <v>168.9</v>
      </c>
      <c r="X329">
        <v>166.5</v>
      </c>
      <c r="Y329">
        <v>176</v>
      </c>
      <c r="Z329">
        <v>162</v>
      </c>
      <c r="AA329">
        <v>166.6</v>
      </c>
      <c r="AB329">
        <v>170.6</v>
      </c>
      <c r="AC329">
        <v>167.4</v>
      </c>
      <c r="AD329">
        <v>168.3</v>
      </c>
      <c r="AE329">
        <v>168.7</v>
      </c>
    </row>
    <row r="330" spans="1:31" x14ac:dyDescent="0.25">
      <c r="A330" t="s">
        <v>33</v>
      </c>
      <c r="B330">
        <v>2022</v>
      </c>
      <c r="C330" t="s">
        <v>36</v>
      </c>
      <c r="D330">
        <v>153.69999999999999</v>
      </c>
      <c r="E330">
        <v>215.8</v>
      </c>
      <c r="F330">
        <v>167.7</v>
      </c>
      <c r="G330">
        <v>162.6</v>
      </c>
      <c r="H330">
        <v>180</v>
      </c>
      <c r="I330">
        <v>159.6</v>
      </c>
      <c r="J330">
        <v>188.4</v>
      </c>
      <c r="K330">
        <v>163.4</v>
      </c>
      <c r="L330">
        <v>120.3</v>
      </c>
      <c r="M330">
        <v>174.7</v>
      </c>
      <c r="N330">
        <f t="shared" si="5"/>
        <v>168.62000000000003</v>
      </c>
      <c r="O330">
        <v>157.1</v>
      </c>
      <c r="P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row>
    <row r="331" spans="1:31" x14ac:dyDescent="0.25">
      <c r="A331" t="s">
        <v>34</v>
      </c>
      <c r="B331">
        <v>2022</v>
      </c>
      <c r="C331" t="s">
        <v>36</v>
      </c>
      <c r="D331">
        <v>151.30000000000001</v>
      </c>
      <c r="E331">
        <v>210.7</v>
      </c>
      <c r="F331">
        <v>167.8</v>
      </c>
      <c r="G331">
        <v>162.19999999999999</v>
      </c>
      <c r="H331">
        <v>194.6</v>
      </c>
      <c r="I331">
        <v>157.6</v>
      </c>
      <c r="J331">
        <v>166.9</v>
      </c>
      <c r="K331">
        <v>163.9</v>
      </c>
      <c r="L331">
        <v>118.8</v>
      </c>
      <c r="M331">
        <v>177.4</v>
      </c>
      <c r="N331">
        <f t="shared" si="5"/>
        <v>167.12000000000003</v>
      </c>
      <c r="O331">
        <v>165.3</v>
      </c>
      <c r="P331">
        <v>179.3</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row>
    <row r="332" spans="1:31" x14ac:dyDescent="0.25">
      <c r="A332" t="s">
        <v>30</v>
      </c>
      <c r="B332">
        <v>2022</v>
      </c>
      <c r="C332" t="s">
        <v>37</v>
      </c>
      <c r="D332">
        <v>151.80000000000001</v>
      </c>
      <c r="E332">
        <v>209.7</v>
      </c>
      <c r="F332">
        <v>164.5</v>
      </c>
      <c r="G332">
        <v>163.80000000000001</v>
      </c>
      <c r="H332">
        <v>207.4</v>
      </c>
      <c r="I332">
        <v>169.7</v>
      </c>
      <c r="J332">
        <v>153.6</v>
      </c>
      <c r="K332">
        <v>165.1</v>
      </c>
      <c r="L332">
        <v>118.2</v>
      </c>
      <c r="M332">
        <v>182.9</v>
      </c>
      <c r="N332">
        <f t="shared" si="5"/>
        <v>168.67</v>
      </c>
      <c r="O332">
        <v>172.4</v>
      </c>
      <c r="P332">
        <v>178.9</v>
      </c>
      <c r="Q332">
        <v>168.6</v>
      </c>
      <c r="R332">
        <v>192.8</v>
      </c>
      <c r="S332">
        <v>177.5</v>
      </c>
      <c r="T332">
        <v>175.1</v>
      </c>
      <c r="U332">
        <v>177.1</v>
      </c>
      <c r="V332">
        <v>139.25</v>
      </c>
      <c r="W332">
        <v>173.3</v>
      </c>
      <c r="X332">
        <v>167.7</v>
      </c>
      <c r="Y332">
        <v>177</v>
      </c>
      <c r="Z332">
        <v>166.2</v>
      </c>
      <c r="AA332">
        <v>167.2</v>
      </c>
      <c r="AB332">
        <v>170.9</v>
      </c>
      <c r="AC332">
        <v>169</v>
      </c>
      <c r="AD332">
        <v>170.2</v>
      </c>
      <c r="AE332">
        <v>170.8</v>
      </c>
    </row>
    <row r="333" spans="1:31" x14ac:dyDescent="0.25">
      <c r="A333" t="s">
        <v>33</v>
      </c>
      <c r="B333">
        <v>2022</v>
      </c>
      <c r="C333" t="s">
        <v>37</v>
      </c>
      <c r="D333">
        <v>155.4</v>
      </c>
      <c r="E333">
        <v>215.8</v>
      </c>
      <c r="F333">
        <v>164.6</v>
      </c>
      <c r="G333">
        <v>164.2</v>
      </c>
      <c r="H333">
        <v>186</v>
      </c>
      <c r="I333">
        <v>175.9</v>
      </c>
      <c r="J333">
        <v>190.7</v>
      </c>
      <c r="K333">
        <v>164</v>
      </c>
      <c r="L333">
        <v>120.5</v>
      </c>
      <c r="M333">
        <v>178</v>
      </c>
      <c r="N333">
        <f t="shared" si="5"/>
        <v>171.51000000000002</v>
      </c>
      <c r="O333">
        <v>157.5</v>
      </c>
      <c r="P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row>
    <row r="334" spans="1:31" x14ac:dyDescent="0.25">
      <c r="A334" t="s">
        <v>34</v>
      </c>
      <c r="B334">
        <v>2022</v>
      </c>
      <c r="C334" t="s">
        <v>37</v>
      </c>
      <c r="D334">
        <v>152.9</v>
      </c>
      <c r="E334">
        <v>211.8</v>
      </c>
      <c r="F334">
        <v>164.5</v>
      </c>
      <c r="G334">
        <v>163.9</v>
      </c>
      <c r="H334">
        <v>199.5</v>
      </c>
      <c r="I334">
        <v>172.6</v>
      </c>
      <c r="J334">
        <v>166.2</v>
      </c>
      <c r="K334">
        <v>164.7</v>
      </c>
      <c r="L334">
        <v>119</v>
      </c>
      <c r="M334">
        <v>181.3</v>
      </c>
      <c r="N334">
        <f t="shared" si="5"/>
        <v>169.64000000000001</v>
      </c>
      <c r="O334">
        <v>166.2</v>
      </c>
      <c r="P334">
        <v>180.9</v>
      </c>
      <c r="Q334">
        <v>170.8</v>
      </c>
      <c r="R334">
        <v>193.9</v>
      </c>
      <c r="S334">
        <v>173.9</v>
      </c>
      <c r="T334">
        <v>166.5</v>
      </c>
      <c r="U334">
        <v>172.8</v>
      </c>
      <c r="V334">
        <v>167</v>
      </c>
      <c r="W334">
        <v>172.2</v>
      </c>
      <c r="X334">
        <v>164</v>
      </c>
      <c r="Y334">
        <v>174</v>
      </c>
      <c r="Z334">
        <v>162.6</v>
      </c>
      <c r="AA334">
        <v>164.4</v>
      </c>
      <c r="AB334">
        <v>166.9</v>
      </c>
      <c r="AC334">
        <v>168.8</v>
      </c>
      <c r="AD334">
        <v>166.8</v>
      </c>
      <c r="AE334">
        <v>170.1</v>
      </c>
    </row>
    <row r="335" spans="1:31" x14ac:dyDescent="0.25">
      <c r="A335" t="s">
        <v>30</v>
      </c>
      <c r="B335">
        <v>2022</v>
      </c>
      <c r="C335" t="s">
        <v>38</v>
      </c>
      <c r="D335">
        <v>152.9</v>
      </c>
      <c r="E335">
        <v>214.7</v>
      </c>
      <c r="F335">
        <v>161.4</v>
      </c>
      <c r="G335">
        <v>164.6</v>
      </c>
      <c r="H335">
        <v>209.9</v>
      </c>
      <c r="I335">
        <v>168</v>
      </c>
      <c r="J335">
        <v>160.4</v>
      </c>
      <c r="K335">
        <v>165</v>
      </c>
      <c r="L335">
        <v>118.9</v>
      </c>
      <c r="M335">
        <v>186.6</v>
      </c>
      <c r="N335">
        <f t="shared" si="5"/>
        <v>170.24</v>
      </c>
      <c r="O335">
        <v>173.2</v>
      </c>
      <c r="P335">
        <v>180.4</v>
      </c>
      <c r="Q335">
        <v>170.8</v>
      </c>
      <c r="R335">
        <v>192.9</v>
      </c>
      <c r="S335">
        <v>179.3</v>
      </c>
      <c r="T335">
        <v>177.2</v>
      </c>
      <c r="U335">
        <v>179</v>
      </c>
      <c r="V335">
        <v>139.25</v>
      </c>
      <c r="W335">
        <v>175.3</v>
      </c>
      <c r="X335">
        <v>168.9</v>
      </c>
      <c r="Y335">
        <v>177.7</v>
      </c>
      <c r="Z335">
        <v>167.1</v>
      </c>
      <c r="AA335">
        <v>167.6</v>
      </c>
      <c r="AB335">
        <v>171.8</v>
      </c>
      <c r="AC335">
        <v>168.5</v>
      </c>
      <c r="AD335">
        <v>170.9</v>
      </c>
      <c r="AE335">
        <v>172.5</v>
      </c>
    </row>
    <row r="336" spans="1:31" x14ac:dyDescent="0.25">
      <c r="A336" t="s">
        <v>33</v>
      </c>
      <c r="B336">
        <v>2022</v>
      </c>
      <c r="C336" t="s">
        <v>38</v>
      </c>
      <c r="D336">
        <v>156.69999999999999</v>
      </c>
      <c r="E336">
        <v>221.2</v>
      </c>
      <c r="F336">
        <v>164.1</v>
      </c>
      <c r="G336">
        <v>165.4</v>
      </c>
      <c r="H336">
        <v>189.5</v>
      </c>
      <c r="I336">
        <v>174.5</v>
      </c>
      <c r="J336">
        <v>203.2</v>
      </c>
      <c r="K336">
        <v>164.1</v>
      </c>
      <c r="L336">
        <v>121.2</v>
      </c>
      <c r="M336">
        <v>181.4</v>
      </c>
      <c r="N336">
        <f t="shared" si="5"/>
        <v>174.13000000000002</v>
      </c>
      <c r="O336">
        <v>158.5</v>
      </c>
      <c r="P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row>
    <row r="337" spans="1:31" x14ac:dyDescent="0.25">
      <c r="A337" t="s">
        <v>34</v>
      </c>
      <c r="B337">
        <v>2022</v>
      </c>
      <c r="C337" t="s">
        <v>38</v>
      </c>
      <c r="D337">
        <v>154.1</v>
      </c>
      <c r="E337">
        <v>217</v>
      </c>
      <c r="F337">
        <v>162.4</v>
      </c>
      <c r="G337">
        <v>164.9</v>
      </c>
      <c r="H337">
        <v>202.4</v>
      </c>
      <c r="I337">
        <v>171</v>
      </c>
      <c r="J337">
        <v>174.9</v>
      </c>
      <c r="K337">
        <v>164.7</v>
      </c>
      <c r="L337">
        <v>119.7</v>
      </c>
      <c r="M337">
        <v>184.9</v>
      </c>
      <c r="N337">
        <f t="shared" si="5"/>
        <v>171.60000000000002</v>
      </c>
      <c r="O337">
        <v>167.1</v>
      </c>
      <c r="P337">
        <v>182.5</v>
      </c>
      <c r="Q337">
        <v>173.3</v>
      </c>
      <c r="R337">
        <v>194.1</v>
      </c>
      <c r="S337">
        <v>175.6</v>
      </c>
      <c r="T337">
        <v>168.4</v>
      </c>
      <c r="U337">
        <v>174.6</v>
      </c>
      <c r="V337">
        <v>167.5</v>
      </c>
      <c r="W337">
        <v>174.6</v>
      </c>
      <c r="X337">
        <v>165.2</v>
      </c>
      <c r="Y337">
        <v>174.8</v>
      </c>
      <c r="Z337">
        <v>163</v>
      </c>
      <c r="AA337">
        <v>165.1</v>
      </c>
      <c r="AB337">
        <v>167.9</v>
      </c>
      <c r="AC337">
        <v>168.4</v>
      </c>
      <c r="AD337">
        <v>167.5</v>
      </c>
      <c r="AE337">
        <v>171.7</v>
      </c>
    </row>
    <row r="338" spans="1:31" x14ac:dyDescent="0.25">
      <c r="A338" t="s">
        <v>30</v>
      </c>
      <c r="B338">
        <v>2022</v>
      </c>
      <c r="C338" t="s">
        <v>39</v>
      </c>
      <c r="D338">
        <v>153.80000000000001</v>
      </c>
      <c r="E338">
        <v>217.2</v>
      </c>
      <c r="F338">
        <v>169.6</v>
      </c>
      <c r="G338">
        <v>165.4</v>
      </c>
      <c r="H338">
        <v>208.1</v>
      </c>
      <c r="I338">
        <v>165.8</v>
      </c>
      <c r="J338">
        <v>167.3</v>
      </c>
      <c r="K338">
        <v>164.6</v>
      </c>
      <c r="L338">
        <v>119.1</v>
      </c>
      <c r="M338">
        <v>188.9</v>
      </c>
      <c r="N338">
        <f t="shared" si="5"/>
        <v>171.98</v>
      </c>
      <c r="O338">
        <v>174.2</v>
      </c>
      <c r="P338">
        <v>181.9</v>
      </c>
      <c r="Q338">
        <v>172.4</v>
      </c>
      <c r="R338">
        <v>192.9</v>
      </c>
      <c r="S338">
        <v>180.7</v>
      </c>
      <c r="T338">
        <v>178.7</v>
      </c>
      <c r="U338">
        <v>180.4</v>
      </c>
      <c r="V338">
        <v>139.25</v>
      </c>
      <c r="W338">
        <v>176.7</v>
      </c>
      <c r="X338">
        <v>170.3</v>
      </c>
      <c r="Y338">
        <v>178.2</v>
      </c>
      <c r="Z338">
        <v>165.5</v>
      </c>
      <c r="AA338">
        <v>168</v>
      </c>
      <c r="AB338">
        <v>172.6</v>
      </c>
      <c r="AC338">
        <v>169.5</v>
      </c>
      <c r="AD338">
        <v>171</v>
      </c>
      <c r="AE338">
        <v>173.6</v>
      </c>
    </row>
    <row r="339" spans="1:31" x14ac:dyDescent="0.25">
      <c r="A339" t="s">
        <v>33</v>
      </c>
      <c r="B339">
        <v>2022</v>
      </c>
      <c r="C339" t="s">
        <v>39</v>
      </c>
      <c r="D339">
        <v>157.5</v>
      </c>
      <c r="E339">
        <v>223.4</v>
      </c>
      <c r="F339">
        <v>172.8</v>
      </c>
      <c r="G339">
        <v>166.4</v>
      </c>
      <c r="H339">
        <v>188.6</v>
      </c>
      <c r="I339">
        <v>174.1</v>
      </c>
      <c r="J339">
        <v>211.5</v>
      </c>
      <c r="K339">
        <v>163.6</v>
      </c>
      <c r="L339">
        <v>121.4</v>
      </c>
      <c r="M339">
        <v>183.5</v>
      </c>
      <c r="N339">
        <f t="shared" si="5"/>
        <v>176.28</v>
      </c>
      <c r="O339">
        <v>159.1</v>
      </c>
      <c r="P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row>
    <row r="340" spans="1:31" x14ac:dyDescent="0.25">
      <c r="A340" t="s">
        <v>34</v>
      </c>
      <c r="B340">
        <v>2022</v>
      </c>
      <c r="C340" t="s">
        <v>39</v>
      </c>
      <c r="D340">
        <v>155</v>
      </c>
      <c r="E340">
        <v>219.4</v>
      </c>
      <c r="F340">
        <v>170.8</v>
      </c>
      <c r="G340">
        <v>165.8</v>
      </c>
      <c r="H340">
        <v>200.9</v>
      </c>
      <c r="I340">
        <v>169.7</v>
      </c>
      <c r="J340">
        <v>182.3</v>
      </c>
      <c r="K340">
        <v>164.3</v>
      </c>
      <c r="L340">
        <v>119.9</v>
      </c>
      <c r="M340">
        <v>187.1</v>
      </c>
      <c r="N340">
        <f t="shared" si="5"/>
        <v>173.51999999999998</v>
      </c>
      <c r="O340">
        <v>167.9</v>
      </c>
      <c r="P340">
        <v>183.9</v>
      </c>
      <c r="Q340">
        <v>174.9</v>
      </c>
      <c r="R340">
        <v>194.3</v>
      </c>
      <c r="S340">
        <v>177.1</v>
      </c>
      <c r="T340">
        <v>169.9</v>
      </c>
      <c r="U340">
        <v>176</v>
      </c>
      <c r="V340">
        <v>166.8</v>
      </c>
      <c r="W340">
        <v>176</v>
      </c>
      <c r="X340">
        <v>166.4</v>
      </c>
      <c r="Y340">
        <v>175.4</v>
      </c>
      <c r="Z340">
        <v>161.1</v>
      </c>
      <c r="AA340">
        <v>165.8</v>
      </c>
      <c r="AB340">
        <v>169</v>
      </c>
      <c r="AC340">
        <v>169.4</v>
      </c>
      <c r="AD340">
        <v>167.5</v>
      </c>
      <c r="AE340">
        <v>172.6</v>
      </c>
    </row>
    <row r="341" spans="1:31" x14ac:dyDescent="0.25">
      <c r="A341" t="s">
        <v>30</v>
      </c>
      <c r="B341">
        <v>2022</v>
      </c>
      <c r="C341" t="s">
        <v>40</v>
      </c>
      <c r="D341">
        <v>155.19999999999999</v>
      </c>
      <c r="E341">
        <v>210.8</v>
      </c>
      <c r="F341">
        <v>174.3</v>
      </c>
      <c r="G341">
        <v>166.3</v>
      </c>
      <c r="H341">
        <v>202.2</v>
      </c>
      <c r="I341">
        <v>169.6</v>
      </c>
      <c r="J341">
        <v>168.6</v>
      </c>
      <c r="K341">
        <v>164.4</v>
      </c>
      <c r="L341">
        <v>119.2</v>
      </c>
      <c r="M341">
        <v>191.8</v>
      </c>
      <c r="N341">
        <f t="shared" si="5"/>
        <v>172.23999999999998</v>
      </c>
      <c r="O341">
        <v>174.5</v>
      </c>
      <c r="P341">
        <v>183.1</v>
      </c>
      <c r="Q341">
        <v>172.5</v>
      </c>
      <c r="R341">
        <v>193.2</v>
      </c>
      <c r="S341">
        <v>182</v>
      </c>
      <c r="T341">
        <v>180.3</v>
      </c>
      <c r="U341">
        <v>181.7</v>
      </c>
      <c r="V341">
        <v>139.25</v>
      </c>
      <c r="W341">
        <v>179.6</v>
      </c>
      <c r="X341">
        <v>171.3</v>
      </c>
      <c r="Y341">
        <v>178.8</v>
      </c>
      <c r="Z341">
        <v>166.3</v>
      </c>
      <c r="AA341">
        <v>168.6</v>
      </c>
      <c r="AB341">
        <v>174.7</v>
      </c>
      <c r="AC341">
        <v>169.7</v>
      </c>
      <c r="AD341">
        <v>171.8</v>
      </c>
      <c r="AE341">
        <v>174.3</v>
      </c>
    </row>
    <row r="342" spans="1:31" x14ac:dyDescent="0.25">
      <c r="A342" t="s">
        <v>33</v>
      </c>
      <c r="B342">
        <v>2022</v>
      </c>
      <c r="C342" t="s">
        <v>40</v>
      </c>
      <c r="D342">
        <v>159.30000000000001</v>
      </c>
      <c r="E342">
        <v>217.1</v>
      </c>
      <c r="F342">
        <v>176.6</v>
      </c>
      <c r="G342">
        <v>167.1</v>
      </c>
      <c r="H342">
        <v>184.8</v>
      </c>
      <c r="I342">
        <v>179.5</v>
      </c>
      <c r="J342">
        <v>208.5</v>
      </c>
      <c r="K342">
        <v>164</v>
      </c>
      <c r="L342">
        <v>121.5</v>
      </c>
      <c r="M342">
        <v>186.3</v>
      </c>
      <c r="N342">
        <f t="shared" si="5"/>
        <v>176.47</v>
      </c>
      <c r="O342">
        <v>159.80000000000001</v>
      </c>
      <c r="P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row>
    <row r="343" spans="1:31" x14ac:dyDescent="0.25">
      <c r="A343" t="s">
        <v>34</v>
      </c>
      <c r="B343">
        <v>2022</v>
      </c>
      <c r="C343" t="s">
        <v>40</v>
      </c>
      <c r="D343">
        <v>156.5</v>
      </c>
      <c r="E343">
        <v>213</v>
      </c>
      <c r="F343">
        <v>175.2</v>
      </c>
      <c r="G343">
        <v>166.6</v>
      </c>
      <c r="H343">
        <v>195.8</v>
      </c>
      <c r="I343">
        <v>174.2</v>
      </c>
      <c r="J343">
        <v>182.1</v>
      </c>
      <c r="K343">
        <v>164.3</v>
      </c>
      <c r="L343">
        <v>120</v>
      </c>
      <c r="M343">
        <v>190</v>
      </c>
      <c r="N343">
        <f t="shared" si="5"/>
        <v>173.77</v>
      </c>
      <c r="O343">
        <v>168.4</v>
      </c>
      <c r="P343">
        <v>185.2</v>
      </c>
      <c r="Q343">
        <v>175</v>
      </c>
      <c r="R343">
        <v>194.6</v>
      </c>
      <c r="S343">
        <v>178.3</v>
      </c>
      <c r="T343">
        <v>171.3</v>
      </c>
      <c r="U343">
        <v>177.3</v>
      </c>
      <c r="V343">
        <v>167.8</v>
      </c>
      <c r="W343">
        <v>179.6</v>
      </c>
      <c r="X343">
        <v>167.4</v>
      </c>
      <c r="Y343">
        <v>176.1</v>
      </c>
      <c r="Z343">
        <v>161.6</v>
      </c>
      <c r="AA343">
        <v>166.3</v>
      </c>
      <c r="AB343">
        <v>171.4</v>
      </c>
      <c r="AC343">
        <v>169.7</v>
      </c>
      <c r="AD343">
        <v>168.4</v>
      </c>
      <c r="AE343">
        <v>173.4</v>
      </c>
    </row>
    <row r="344" spans="1:31" x14ac:dyDescent="0.25">
      <c r="A344" t="s">
        <v>30</v>
      </c>
      <c r="B344">
        <v>2022</v>
      </c>
      <c r="C344" t="s">
        <v>41</v>
      </c>
      <c r="D344">
        <v>159.5</v>
      </c>
      <c r="E344">
        <v>204.1</v>
      </c>
      <c r="F344">
        <v>168.3</v>
      </c>
      <c r="G344">
        <v>167.9</v>
      </c>
      <c r="H344">
        <v>198.1</v>
      </c>
      <c r="I344">
        <v>169.2</v>
      </c>
      <c r="J344">
        <v>173.1</v>
      </c>
      <c r="K344">
        <v>167.1</v>
      </c>
      <c r="L344">
        <v>120.2</v>
      </c>
      <c r="M344">
        <v>195.6</v>
      </c>
      <c r="N344">
        <f t="shared" si="5"/>
        <v>172.31</v>
      </c>
      <c r="O344">
        <v>174.8</v>
      </c>
      <c r="P344">
        <v>184</v>
      </c>
      <c r="Q344">
        <v>173.9</v>
      </c>
      <c r="R344">
        <v>193.7</v>
      </c>
      <c r="S344">
        <v>183.2</v>
      </c>
      <c r="T344">
        <v>181.7</v>
      </c>
      <c r="U344">
        <v>183</v>
      </c>
      <c r="V344">
        <v>139.25</v>
      </c>
      <c r="W344">
        <v>179.1</v>
      </c>
      <c r="X344">
        <v>172.3</v>
      </c>
      <c r="Y344">
        <v>179.4</v>
      </c>
      <c r="Z344">
        <v>166.6</v>
      </c>
      <c r="AA344">
        <v>169.3</v>
      </c>
      <c r="AB344">
        <v>175.7</v>
      </c>
      <c r="AC344">
        <v>171.1</v>
      </c>
      <c r="AD344">
        <v>172.6</v>
      </c>
      <c r="AE344">
        <v>175.3</v>
      </c>
    </row>
    <row r="345" spans="1:31" x14ac:dyDescent="0.25">
      <c r="A345" t="s">
        <v>33</v>
      </c>
      <c r="B345">
        <v>2022</v>
      </c>
      <c r="C345" t="s">
        <v>41</v>
      </c>
      <c r="D345">
        <v>162.1</v>
      </c>
      <c r="E345">
        <v>210.9</v>
      </c>
      <c r="F345">
        <v>170.6</v>
      </c>
      <c r="G345">
        <v>168.4</v>
      </c>
      <c r="H345">
        <v>182.5</v>
      </c>
      <c r="I345">
        <v>177.1</v>
      </c>
      <c r="J345">
        <v>213.1</v>
      </c>
      <c r="K345">
        <v>167.3</v>
      </c>
      <c r="L345">
        <v>122.2</v>
      </c>
      <c r="M345">
        <v>189.7</v>
      </c>
      <c r="N345">
        <f t="shared" si="5"/>
        <v>176.39</v>
      </c>
      <c r="O345">
        <v>160.5</v>
      </c>
      <c r="P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row>
    <row r="346" spans="1:31" x14ac:dyDescent="0.25">
      <c r="A346" t="s">
        <v>34</v>
      </c>
      <c r="B346">
        <v>2022</v>
      </c>
      <c r="C346" t="s">
        <v>41</v>
      </c>
      <c r="D346">
        <v>160.30000000000001</v>
      </c>
      <c r="E346">
        <v>206.5</v>
      </c>
      <c r="F346">
        <v>169.2</v>
      </c>
      <c r="G346">
        <v>168.1</v>
      </c>
      <c r="H346">
        <v>192.4</v>
      </c>
      <c r="I346">
        <v>172.9</v>
      </c>
      <c r="J346">
        <v>186.7</v>
      </c>
      <c r="K346">
        <v>167.2</v>
      </c>
      <c r="L346">
        <v>120.9</v>
      </c>
      <c r="M346">
        <v>193.6</v>
      </c>
      <c r="N346">
        <f t="shared" si="5"/>
        <v>173.78000000000003</v>
      </c>
      <c r="O346">
        <v>168.8</v>
      </c>
      <c r="P346">
        <v>186.3</v>
      </c>
      <c r="Q346">
        <v>176.3</v>
      </c>
      <c r="R346">
        <v>195</v>
      </c>
      <c r="S346">
        <v>179.5</v>
      </c>
      <c r="T346">
        <v>172.7</v>
      </c>
      <c r="U346">
        <v>178.5</v>
      </c>
      <c r="V346">
        <v>169</v>
      </c>
      <c r="W346">
        <v>178.8</v>
      </c>
      <c r="X346">
        <v>168.5</v>
      </c>
      <c r="Y346">
        <v>176.8</v>
      </c>
      <c r="Z346">
        <v>161.9</v>
      </c>
      <c r="AA346">
        <v>166.9</v>
      </c>
      <c r="AB346">
        <v>172.3</v>
      </c>
      <c r="AC346">
        <v>171.2</v>
      </c>
      <c r="AD346">
        <v>169.1</v>
      </c>
      <c r="AE346">
        <v>174.3</v>
      </c>
    </row>
    <row r="347" spans="1:31" x14ac:dyDescent="0.25">
      <c r="A347" t="s">
        <v>30</v>
      </c>
      <c r="B347">
        <v>2022</v>
      </c>
      <c r="C347" t="s">
        <v>42</v>
      </c>
      <c r="D347">
        <v>162.9</v>
      </c>
      <c r="E347">
        <v>206.7</v>
      </c>
      <c r="F347">
        <v>169</v>
      </c>
      <c r="G347">
        <v>169.5</v>
      </c>
      <c r="H347">
        <v>194.1</v>
      </c>
      <c r="I347">
        <v>164.1</v>
      </c>
      <c r="J347">
        <v>176.9</v>
      </c>
      <c r="K347">
        <v>169</v>
      </c>
      <c r="L347">
        <v>120.8</v>
      </c>
      <c r="M347">
        <v>199.1</v>
      </c>
      <c r="N347">
        <f t="shared" si="5"/>
        <v>173.20999999999998</v>
      </c>
      <c r="O347">
        <v>175.4</v>
      </c>
      <c r="P347">
        <v>184.8</v>
      </c>
      <c r="Q347">
        <v>175.5</v>
      </c>
      <c r="R347">
        <v>194.5</v>
      </c>
      <c r="S347">
        <v>184.7</v>
      </c>
      <c r="T347">
        <v>183.3</v>
      </c>
      <c r="U347">
        <v>184.5</v>
      </c>
      <c r="V347">
        <v>139.25</v>
      </c>
      <c r="W347">
        <v>179.7</v>
      </c>
      <c r="X347">
        <v>173.6</v>
      </c>
      <c r="Y347">
        <v>180.2</v>
      </c>
      <c r="Z347">
        <v>166.9</v>
      </c>
      <c r="AA347">
        <v>170</v>
      </c>
      <c r="AB347">
        <v>176.2</v>
      </c>
      <c r="AC347">
        <v>170.8</v>
      </c>
      <c r="AD347">
        <v>173.1</v>
      </c>
      <c r="AE347">
        <v>176.4</v>
      </c>
    </row>
    <row r="348" spans="1:31" x14ac:dyDescent="0.25">
      <c r="A348" t="s">
        <v>33</v>
      </c>
      <c r="B348">
        <v>2022</v>
      </c>
      <c r="C348" t="s">
        <v>42</v>
      </c>
      <c r="D348">
        <v>164.9</v>
      </c>
      <c r="E348">
        <v>213.7</v>
      </c>
      <c r="F348">
        <v>170.9</v>
      </c>
      <c r="G348">
        <v>170.1</v>
      </c>
      <c r="H348">
        <v>179.3</v>
      </c>
      <c r="I348">
        <v>167.5</v>
      </c>
      <c r="J348">
        <v>220.8</v>
      </c>
      <c r="K348">
        <v>169.2</v>
      </c>
      <c r="L348">
        <v>123.1</v>
      </c>
      <c r="M348">
        <v>193.6</v>
      </c>
      <c r="N348">
        <f t="shared" si="5"/>
        <v>177.31</v>
      </c>
      <c r="O348">
        <v>161.1</v>
      </c>
      <c r="P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row>
    <row r="349" spans="1:31" x14ac:dyDescent="0.25">
      <c r="A349" t="s">
        <v>34</v>
      </c>
      <c r="B349">
        <v>2022</v>
      </c>
      <c r="C349" t="s">
        <v>42</v>
      </c>
      <c r="D349">
        <v>163.5</v>
      </c>
      <c r="E349">
        <v>209.2</v>
      </c>
      <c r="F349">
        <v>169.7</v>
      </c>
      <c r="G349">
        <v>169.7</v>
      </c>
      <c r="H349">
        <v>188.7</v>
      </c>
      <c r="I349">
        <v>165.7</v>
      </c>
      <c r="J349">
        <v>191.8</v>
      </c>
      <c r="K349">
        <v>169.1</v>
      </c>
      <c r="L349">
        <v>121.6</v>
      </c>
      <c r="M349">
        <v>197.3</v>
      </c>
      <c r="N349">
        <f t="shared" si="5"/>
        <v>174.62999999999997</v>
      </c>
      <c r="O349">
        <v>169.4</v>
      </c>
      <c r="P349">
        <v>187.4</v>
      </c>
      <c r="Q349">
        <v>177.8</v>
      </c>
      <c r="R349">
        <v>195.9</v>
      </c>
      <c r="S349">
        <v>180.9</v>
      </c>
      <c r="T349">
        <v>174.3</v>
      </c>
      <c r="U349">
        <v>179.9</v>
      </c>
      <c r="V349">
        <v>169.5</v>
      </c>
      <c r="W349">
        <v>179.5</v>
      </c>
      <c r="X349">
        <v>169.5</v>
      </c>
      <c r="Y349">
        <v>177.8</v>
      </c>
      <c r="Z349">
        <v>162.30000000000001</v>
      </c>
      <c r="AA349">
        <v>167.6</v>
      </c>
      <c r="AB349">
        <v>173.1</v>
      </c>
      <c r="AC349">
        <v>170.9</v>
      </c>
      <c r="AD349">
        <v>169.7</v>
      </c>
      <c r="AE349">
        <v>175.3</v>
      </c>
    </row>
    <row r="350" spans="1:31" x14ac:dyDescent="0.25">
      <c r="A350" t="s">
        <v>30</v>
      </c>
      <c r="B350">
        <v>2022</v>
      </c>
      <c r="C350" t="s">
        <v>43</v>
      </c>
      <c r="D350">
        <v>164.7</v>
      </c>
      <c r="E350">
        <v>208.8</v>
      </c>
      <c r="F350">
        <v>170.3</v>
      </c>
      <c r="G350">
        <v>170.9</v>
      </c>
      <c r="H350">
        <v>191.6</v>
      </c>
      <c r="I350">
        <v>162.19999999999999</v>
      </c>
      <c r="J350">
        <v>184.8</v>
      </c>
      <c r="K350">
        <v>169.7</v>
      </c>
      <c r="L350">
        <v>121.1</v>
      </c>
      <c r="M350">
        <v>201.6</v>
      </c>
      <c r="N350">
        <f t="shared" si="5"/>
        <v>174.57</v>
      </c>
      <c r="O350">
        <v>175.8</v>
      </c>
      <c r="P350">
        <v>185.6</v>
      </c>
      <c r="Q350">
        <v>177.4</v>
      </c>
      <c r="R350">
        <v>194.9</v>
      </c>
      <c r="S350">
        <v>186.1</v>
      </c>
      <c r="T350">
        <v>184.4</v>
      </c>
      <c r="U350">
        <v>185.9</v>
      </c>
      <c r="V350">
        <v>139.25</v>
      </c>
      <c r="W350">
        <v>180.8</v>
      </c>
      <c r="X350">
        <v>174.4</v>
      </c>
      <c r="Y350">
        <v>181.2</v>
      </c>
      <c r="Z350">
        <v>167.4</v>
      </c>
      <c r="AA350">
        <v>170.6</v>
      </c>
      <c r="AB350">
        <v>176.5</v>
      </c>
      <c r="AC350">
        <v>172</v>
      </c>
      <c r="AD350">
        <v>173.9</v>
      </c>
      <c r="AE350">
        <v>177.9</v>
      </c>
    </row>
    <row r="351" spans="1:31" x14ac:dyDescent="0.25">
      <c r="A351" t="s">
        <v>33</v>
      </c>
      <c r="B351">
        <v>2022</v>
      </c>
      <c r="C351" t="s">
        <v>43</v>
      </c>
      <c r="D351">
        <v>166.4</v>
      </c>
      <c r="E351">
        <v>214.9</v>
      </c>
      <c r="F351">
        <v>171.9</v>
      </c>
      <c r="G351">
        <v>171</v>
      </c>
      <c r="H351">
        <v>177.7</v>
      </c>
      <c r="I351">
        <v>165.7</v>
      </c>
      <c r="J351">
        <v>228.6</v>
      </c>
      <c r="K351">
        <v>169.9</v>
      </c>
      <c r="L351">
        <v>123.4</v>
      </c>
      <c r="M351">
        <v>196.4</v>
      </c>
      <c r="N351">
        <f t="shared" si="5"/>
        <v>178.59000000000003</v>
      </c>
      <c r="O351">
        <v>161.6</v>
      </c>
      <c r="P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row>
    <row r="352" spans="1:31" x14ac:dyDescent="0.25">
      <c r="A352" t="s">
        <v>34</v>
      </c>
      <c r="B352">
        <v>2022</v>
      </c>
      <c r="C352" t="s">
        <v>43</v>
      </c>
      <c r="D352">
        <v>165.2</v>
      </c>
      <c r="E352">
        <v>210.9</v>
      </c>
      <c r="F352">
        <v>170.9</v>
      </c>
      <c r="G352">
        <v>170.9</v>
      </c>
      <c r="H352">
        <v>186.5</v>
      </c>
      <c r="I352">
        <v>163.80000000000001</v>
      </c>
      <c r="J352">
        <v>199.7</v>
      </c>
      <c r="K352">
        <v>169.8</v>
      </c>
      <c r="L352">
        <v>121.9</v>
      </c>
      <c r="M352">
        <v>199.9</v>
      </c>
      <c r="N352">
        <f t="shared" si="5"/>
        <v>175.95000000000002</v>
      </c>
      <c r="O352">
        <v>169.9</v>
      </c>
      <c r="P352">
        <v>188.3</v>
      </c>
      <c r="Q352">
        <v>179.6</v>
      </c>
      <c r="R352">
        <v>196.3</v>
      </c>
      <c r="S352">
        <v>181.9</v>
      </c>
      <c r="T352">
        <v>175.3</v>
      </c>
      <c r="U352">
        <v>181</v>
      </c>
      <c r="V352">
        <v>171.2</v>
      </c>
      <c r="W352">
        <v>180.5</v>
      </c>
      <c r="X352">
        <v>170.4</v>
      </c>
      <c r="Y352">
        <v>178.7</v>
      </c>
      <c r="Z352">
        <v>162.9</v>
      </c>
      <c r="AA352">
        <v>168.2</v>
      </c>
      <c r="AB352">
        <v>173.4</v>
      </c>
      <c r="AC352">
        <v>172.1</v>
      </c>
      <c r="AD352">
        <v>170.5</v>
      </c>
      <c r="AE352">
        <v>176.7</v>
      </c>
    </row>
    <row r="353" spans="1:31" x14ac:dyDescent="0.25">
      <c r="A353" t="s">
        <v>30</v>
      </c>
      <c r="B353">
        <v>2022</v>
      </c>
      <c r="C353" t="s">
        <v>45</v>
      </c>
      <c r="D353">
        <v>166.9</v>
      </c>
      <c r="E353">
        <v>207.2</v>
      </c>
      <c r="F353">
        <v>180.2</v>
      </c>
      <c r="G353">
        <v>172.3</v>
      </c>
      <c r="H353">
        <v>194</v>
      </c>
      <c r="I353">
        <v>159.1</v>
      </c>
      <c r="J353">
        <v>171.6</v>
      </c>
      <c r="K353">
        <v>170.2</v>
      </c>
      <c r="L353">
        <v>121.5</v>
      </c>
      <c r="M353">
        <v>204.8</v>
      </c>
      <c r="N353">
        <f t="shared" si="5"/>
        <v>174.77999999999997</v>
      </c>
      <c r="O353">
        <v>176.4</v>
      </c>
      <c r="P353">
        <v>186.9</v>
      </c>
      <c r="Q353">
        <v>176.6</v>
      </c>
      <c r="R353">
        <v>195.5</v>
      </c>
      <c r="S353">
        <v>187.2</v>
      </c>
      <c r="T353">
        <v>185.2</v>
      </c>
      <c r="U353">
        <v>186.9</v>
      </c>
      <c r="V353">
        <v>139.25</v>
      </c>
      <c r="W353">
        <v>181.9</v>
      </c>
      <c r="X353">
        <v>175.5</v>
      </c>
      <c r="Y353">
        <v>182.3</v>
      </c>
      <c r="Z353">
        <v>167.5</v>
      </c>
      <c r="AA353">
        <v>170.8</v>
      </c>
      <c r="AB353">
        <v>176.9</v>
      </c>
      <c r="AC353">
        <v>173.4</v>
      </c>
      <c r="AD353">
        <v>174.6</v>
      </c>
      <c r="AE353">
        <v>177.8</v>
      </c>
    </row>
    <row r="354" spans="1:31" x14ac:dyDescent="0.25">
      <c r="A354" t="s">
        <v>33</v>
      </c>
      <c r="B354">
        <v>2022</v>
      </c>
      <c r="C354" t="s">
        <v>45</v>
      </c>
      <c r="D354">
        <v>168.4</v>
      </c>
      <c r="E354">
        <v>213.4</v>
      </c>
      <c r="F354">
        <v>183.2</v>
      </c>
      <c r="G354">
        <v>172.3</v>
      </c>
      <c r="H354">
        <v>180</v>
      </c>
      <c r="I354">
        <v>162.6</v>
      </c>
      <c r="J354">
        <v>205.5</v>
      </c>
      <c r="K354">
        <v>171</v>
      </c>
      <c r="L354">
        <v>123.4</v>
      </c>
      <c r="M354">
        <v>198.8</v>
      </c>
      <c r="N354">
        <f t="shared" si="5"/>
        <v>177.85999999999999</v>
      </c>
      <c r="O354">
        <v>162.1</v>
      </c>
      <c r="P354">
        <v>192.4</v>
      </c>
      <c r="Q354">
        <v>181.3</v>
      </c>
      <c r="R354">
        <v>200.6</v>
      </c>
      <c r="S354">
        <v>176.7</v>
      </c>
      <c r="T354">
        <v>163.5</v>
      </c>
      <c r="U354">
        <v>174.7</v>
      </c>
      <c r="V354">
        <v>171.8</v>
      </c>
      <c r="W354">
        <v>180.3</v>
      </c>
      <c r="X354">
        <v>166.9</v>
      </c>
      <c r="Y354">
        <v>175.8</v>
      </c>
      <c r="Z354">
        <v>158.9</v>
      </c>
      <c r="AA354">
        <v>166.7</v>
      </c>
      <c r="AB354">
        <v>171.5</v>
      </c>
      <c r="AC354">
        <v>173.8</v>
      </c>
      <c r="AD354">
        <v>167.4</v>
      </c>
      <c r="AE354">
        <v>174.1</v>
      </c>
    </row>
    <row r="355" spans="1:31" x14ac:dyDescent="0.25">
      <c r="A355" t="s">
        <v>34</v>
      </c>
      <c r="B355">
        <v>2022</v>
      </c>
      <c r="C355" t="s">
        <v>45</v>
      </c>
      <c r="D355">
        <v>167.4</v>
      </c>
      <c r="E355">
        <v>209.4</v>
      </c>
      <c r="F355">
        <v>181.4</v>
      </c>
      <c r="G355">
        <v>172.3</v>
      </c>
      <c r="H355">
        <v>188.9</v>
      </c>
      <c r="I355">
        <v>160.69999999999999</v>
      </c>
      <c r="J355">
        <v>183.1</v>
      </c>
      <c r="K355">
        <v>170.5</v>
      </c>
      <c r="L355">
        <v>122.1</v>
      </c>
      <c r="M355">
        <v>202.8</v>
      </c>
      <c r="N355">
        <f t="shared" si="5"/>
        <v>175.85999999999996</v>
      </c>
      <c r="O355">
        <v>170.4</v>
      </c>
      <c r="P355">
        <v>189.5</v>
      </c>
      <c r="Q355">
        <v>178.3</v>
      </c>
      <c r="R355">
        <v>196.9</v>
      </c>
      <c r="S355">
        <v>183.1</v>
      </c>
      <c r="T355">
        <v>176.2</v>
      </c>
      <c r="U355">
        <v>182.1</v>
      </c>
      <c r="V355">
        <v>171.8</v>
      </c>
      <c r="W355">
        <v>181.3</v>
      </c>
      <c r="X355">
        <v>171.4</v>
      </c>
      <c r="Y355">
        <v>179.8</v>
      </c>
      <c r="Z355">
        <v>163</v>
      </c>
      <c r="AA355">
        <v>168.5</v>
      </c>
      <c r="AB355">
        <v>173.7</v>
      </c>
      <c r="AC355">
        <v>173.6</v>
      </c>
      <c r="AD355">
        <v>171.1</v>
      </c>
      <c r="AE355">
        <v>176.5</v>
      </c>
    </row>
    <row r="356" spans="1:31" x14ac:dyDescent="0.25">
      <c r="A356" t="s">
        <v>30</v>
      </c>
      <c r="B356">
        <v>2022</v>
      </c>
      <c r="C356" t="s">
        <v>46</v>
      </c>
      <c r="D356">
        <v>168.8</v>
      </c>
      <c r="E356">
        <v>206.9</v>
      </c>
      <c r="F356">
        <v>189.1</v>
      </c>
      <c r="G356">
        <v>173.4</v>
      </c>
      <c r="H356">
        <v>193.9</v>
      </c>
      <c r="I356">
        <v>156.69999999999999</v>
      </c>
      <c r="J356">
        <v>150.19999999999999</v>
      </c>
      <c r="K356">
        <v>170.5</v>
      </c>
      <c r="L356">
        <v>121.2</v>
      </c>
      <c r="M356">
        <v>207.5</v>
      </c>
      <c r="N356">
        <f t="shared" si="5"/>
        <v>173.82</v>
      </c>
      <c r="O356">
        <v>176.8</v>
      </c>
      <c r="P356">
        <v>187.7</v>
      </c>
      <c r="Q356">
        <v>174.4</v>
      </c>
      <c r="R356">
        <v>195.9</v>
      </c>
      <c r="S356">
        <v>188.1</v>
      </c>
      <c r="T356">
        <v>185.9</v>
      </c>
      <c r="U356">
        <v>187.8</v>
      </c>
      <c r="V356">
        <v>139.25</v>
      </c>
      <c r="W356">
        <v>182.8</v>
      </c>
      <c r="X356">
        <v>176.4</v>
      </c>
      <c r="Y356">
        <v>183.5</v>
      </c>
      <c r="Z356">
        <v>167.8</v>
      </c>
      <c r="AA356">
        <v>171.2</v>
      </c>
      <c r="AB356">
        <v>177.3</v>
      </c>
      <c r="AC356">
        <v>175.7</v>
      </c>
      <c r="AD356">
        <v>175.5</v>
      </c>
      <c r="AE356">
        <v>177.1</v>
      </c>
    </row>
    <row r="357" spans="1:31" x14ac:dyDescent="0.25">
      <c r="A357" t="s">
        <v>33</v>
      </c>
      <c r="B357">
        <v>2022</v>
      </c>
      <c r="C357" t="s">
        <v>46</v>
      </c>
      <c r="D357">
        <v>170.2</v>
      </c>
      <c r="E357">
        <v>212.9</v>
      </c>
      <c r="F357">
        <v>191.9</v>
      </c>
      <c r="G357">
        <v>173.9</v>
      </c>
      <c r="H357">
        <v>179.1</v>
      </c>
      <c r="I357">
        <v>159.5</v>
      </c>
      <c r="J357">
        <v>178.7</v>
      </c>
      <c r="K357">
        <v>171.3</v>
      </c>
      <c r="L357">
        <v>123.1</v>
      </c>
      <c r="M357">
        <v>200.5</v>
      </c>
      <c r="N357">
        <f t="shared" si="5"/>
        <v>176.10999999999999</v>
      </c>
      <c r="O357">
        <v>162.80000000000001</v>
      </c>
      <c r="P357">
        <v>193.3</v>
      </c>
      <c r="Q357">
        <v>178.6</v>
      </c>
      <c r="R357">
        <v>201.1</v>
      </c>
      <c r="S357">
        <v>177.7</v>
      </c>
      <c r="T357">
        <v>164.5</v>
      </c>
      <c r="U357">
        <v>175.7</v>
      </c>
      <c r="V357">
        <v>170.7</v>
      </c>
      <c r="W357">
        <v>180.6</v>
      </c>
      <c r="X357">
        <v>167.3</v>
      </c>
      <c r="Y357">
        <v>177.2</v>
      </c>
      <c r="Z357">
        <v>159.4</v>
      </c>
      <c r="AA357">
        <v>167.1</v>
      </c>
      <c r="AB357">
        <v>171.8</v>
      </c>
      <c r="AC357">
        <v>176</v>
      </c>
      <c r="AD357">
        <v>168.2</v>
      </c>
      <c r="AE357">
        <v>174.1</v>
      </c>
    </row>
    <row r="358" spans="1:31" x14ac:dyDescent="0.25">
      <c r="A358" t="s">
        <v>34</v>
      </c>
      <c r="B358">
        <v>2022</v>
      </c>
      <c r="C358" t="s">
        <v>46</v>
      </c>
      <c r="D358">
        <v>169.2</v>
      </c>
      <c r="E358">
        <v>209</v>
      </c>
      <c r="F358">
        <v>190.2</v>
      </c>
      <c r="G358">
        <v>173.6</v>
      </c>
      <c r="H358">
        <v>188.5</v>
      </c>
      <c r="I358">
        <v>158</v>
      </c>
      <c r="J358">
        <v>159.9</v>
      </c>
      <c r="K358">
        <v>170.8</v>
      </c>
      <c r="L358">
        <v>121.8</v>
      </c>
      <c r="M358">
        <v>205.2</v>
      </c>
      <c r="N358">
        <f t="shared" si="5"/>
        <v>174.62</v>
      </c>
      <c r="O358">
        <v>171</v>
      </c>
      <c r="P358">
        <v>190.3</v>
      </c>
      <c r="Q358">
        <v>175.9</v>
      </c>
      <c r="R358">
        <v>197.3</v>
      </c>
      <c r="S358">
        <v>184</v>
      </c>
      <c r="T358">
        <v>177</v>
      </c>
      <c r="U358">
        <v>183</v>
      </c>
      <c r="V358">
        <v>170.7</v>
      </c>
      <c r="W358">
        <v>182</v>
      </c>
      <c r="X358">
        <v>172.1</v>
      </c>
      <c r="Y358">
        <v>181.1</v>
      </c>
      <c r="Z358">
        <v>163.4</v>
      </c>
      <c r="AA358">
        <v>168.9</v>
      </c>
      <c r="AB358">
        <v>174.1</v>
      </c>
      <c r="AC358">
        <v>175.8</v>
      </c>
      <c r="AD358">
        <v>172</v>
      </c>
      <c r="AE358">
        <v>175.7</v>
      </c>
    </row>
    <row r="359" spans="1:31" x14ac:dyDescent="0.25">
      <c r="A359" t="s">
        <v>30</v>
      </c>
      <c r="B359">
        <v>2023</v>
      </c>
      <c r="C359" t="s">
        <v>31</v>
      </c>
      <c r="D359">
        <v>174</v>
      </c>
      <c r="E359">
        <v>208.3</v>
      </c>
      <c r="F359">
        <v>192.9</v>
      </c>
      <c r="G359">
        <v>174.3</v>
      </c>
      <c r="H359">
        <v>192.6</v>
      </c>
      <c r="I359">
        <v>156.30000000000001</v>
      </c>
      <c r="J359">
        <v>142.9</v>
      </c>
      <c r="K359">
        <v>170.7</v>
      </c>
      <c r="L359">
        <v>120.3</v>
      </c>
      <c r="M359">
        <v>210.5</v>
      </c>
      <c r="N359">
        <f t="shared" si="5"/>
        <v>174.28000000000003</v>
      </c>
      <c r="O359">
        <v>176.9</v>
      </c>
      <c r="P359">
        <v>188.5</v>
      </c>
      <c r="Q359">
        <v>175</v>
      </c>
      <c r="R359">
        <v>196.9</v>
      </c>
      <c r="S359">
        <v>189</v>
      </c>
      <c r="T359">
        <v>186.3</v>
      </c>
      <c r="U359">
        <v>188.6</v>
      </c>
      <c r="V359">
        <v>139.25</v>
      </c>
      <c r="W359">
        <v>183.2</v>
      </c>
      <c r="X359">
        <v>177.2</v>
      </c>
      <c r="Y359">
        <v>184.7</v>
      </c>
      <c r="Z359">
        <v>168.2</v>
      </c>
      <c r="AA359">
        <v>171.8</v>
      </c>
      <c r="AB359">
        <v>177.8</v>
      </c>
      <c r="AC359">
        <v>178.4</v>
      </c>
      <c r="AD359">
        <v>176.5</v>
      </c>
      <c r="AE359">
        <v>177.8</v>
      </c>
    </row>
    <row r="360" spans="1:31" x14ac:dyDescent="0.25">
      <c r="A360" t="s">
        <v>33</v>
      </c>
      <c r="B360">
        <v>2023</v>
      </c>
      <c r="C360" t="s">
        <v>31</v>
      </c>
      <c r="D360">
        <v>173.3</v>
      </c>
      <c r="E360">
        <v>215.2</v>
      </c>
      <c r="F360">
        <v>197</v>
      </c>
      <c r="G360">
        <v>175.2</v>
      </c>
      <c r="H360">
        <v>178</v>
      </c>
      <c r="I360">
        <v>160.5</v>
      </c>
      <c r="J360">
        <v>175.3</v>
      </c>
      <c r="K360">
        <v>171.2</v>
      </c>
      <c r="L360">
        <v>122.7</v>
      </c>
      <c r="M360">
        <v>204.3</v>
      </c>
      <c r="N360">
        <f t="shared" si="5"/>
        <v>177.27</v>
      </c>
      <c r="O360">
        <v>163.69999999999999</v>
      </c>
      <c r="P360">
        <v>194.3</v>
      </c>
      <c r="Q360">
        <v>179.5</v>
      </c>
      <c r="R360">
        <v>201.6</v>
      </c>
      <c r="S360">
        <v>178.7</v>
      </c>
      <c r="T360">
        <v>165.3</v>
      </c>
      <c r="U360">
        <v>176.6</v>
      </c>
      <c r="V360">
        <v>172.1</v>
      </c>
      <c r="W360">
        <v>180.1</v>
      </c>
      <c r="X360">
        <v>168</v>
      </c>
      <c r="Y360">
        <v>178.5</v>
      </c>
      <c r="Z360">
        <v>159.5</v>
      </c>
      <c r="AA360">
        <v>167.8</v>
      </c>
      <c r="AB360">
        <v>171.8</v>
      </c>
      <c r="AC360">
        <v>178.8</v>
      </c>
      <c r="AD360">
        <v>168.9</v>
      </c>
      <c r="AE360">
        <v>174.9</v>
      </c>
    </row>
    <row r="361" spans="1:31" x14ac:dyDescent="0.25">
      <c r="A361" t="s">
        <v>34</v>
      </c>
      <c r="B361">
        <v>2023</v>
      </c>
      <c r="C361" t="s">
        <v>31</v>
      </c>
      <c r="D361">
        <v>173.8</v>
      </c>
      <c r="E361">
        <v>210.7</v>
      </c>
      <c r="F361">
        <v>194.5</v>
      </c>
      <c r="G361">
        <v>174.6</v>
      </c>
      <c r="H361">
        <v>187.2</v>
      </c>
      <c r="I361">
        <v>158.30000000000001</v>
      </c>
      <c r="J361">
        <v>153.9</v>
      </c>
      <c r="K361">
        <v>170.9</v>
      </c>
      <c r="L361">
        <v>121.1</v>
      </c>
      <c r="M361">
        <v>208.4</v>
      </c>
      <c r="N361">
        <f t="shared" si="5"/>
        <v>175.34</v>
      </c>
      <c r="O361">
        <v>171.4</v>
      </c>
      <c r="P361">
        <v>191.2</v>
      </c>
      <c r="Q361">
        <v>176.7</v>
      </c>
      <c r="R361">
        <v>198.2</v>
      </c>
      <c r="S361">
        <v>184.9</v>
      </c>
      <c r="T361">
        <v>177.6</v>
      </c>
      <c r="U361">
        <v>183.8</v>
      </c>
      <c r="V361">
        <v>172.1</v>
      </c>
      <c r="W361">
        <v>182</v>
      </c>
      <c r="X361">
        <v>172.9</v>
      </c>
      <c r="Y361">
        <v>182.3</v>
      </c>
      <c r="Z361">
        <v>163.6</v>
      </c>
      <c r="AA361">
        <v>169.5</v>
      </c>
      <c r="AB361">
        <v>174.3</v>
      </c>
      <c r="AC361">
        <v>178.6</v>
      </c>
      <c r="AD361">
        <v>172.8</v>
      </c>
      <c r="AE361">
        <v>176.5</v>
      </c>
    </row>
    <row r="362" spans="1:31" x14ac:dyDescent="0.25">
      <c r="A362" t="s">
        <v>30</v>
      </c>
      <c r="B362">
        <v>2023</v>
      </c>
      <c r="C362" t="s">
        <v>35</v>
      </c>
      <c r="D362">
        <v>174.2</v>
      </c>
      <c r="E362">
        <v>205.2</v>
      </c>
      <c r="F362">
        <v>173.9</v>
      </c>
      <c r="G362">
        <v>177</v>
      </c>
      <c r="H362">
        <v>183.4</v>
      </c>
      <c r="I362">
        <v>167.2</v>
      </c>
      <c r="J362">
        <v>140.9</v>
      </c>
      <c r="K362">
        <v>170.4</v>
      </c>
      <c r="L362">
        <v>119.1</v>
      </c>
      <c r="M362">
        <v>212.1</v>
      </c>
      <c r="N362">
        <f t="shared" si="5"/>
        <v>172.33999999999997</v>
      </c>
      <c r="O362">
        <v>177.6</v>
      </c>
      <c r="P362">
        <v>189.9</v>
      </c>
      <c r="Q362">
        <v>174.8</v>
      </c>
      <c r="R362">
        <v>198.3</v>
      </c>
      <c r="S362">
        <v>190</v>
      </c>
      <c r="T362">
        <v>187</v>
      </c>
      <c r="U362">
        <v>189.6</v>
      </c>
      <c r="V362">
        <v>139.25</v>
      </c>
      <c r="W362">
        <v>181.6</v>
      </c>
      <c r="X362">
        <v>178.6</v>
      </c>
      <c r="Y362">
        <v>186.6</v>
      </c>
      <c r="Z362">
        <v>169</v>
      </c>
      <c r="AA362">
        <v>172.8</v>
      </c>
      <c r="AB362">
        <v>178.5</v>
      </c>
      <c r="AC362">
        <v>180.7</v>
      </c>
      <c r="AD362">
        <v>177.9</v>
      </c>
      <c r="AE362">
        <v>178</v>
      </c>
    </row>
    <row r="363" spans="1:31" x14ac:dyDescent="0.25">
      <c r="A363" t="s">
        <v>33</v>
      </c>
      <c r="B363">
        <v>2023</v>
      </c>
      <c r="C363" t="s">
        <v>35</v>
      </c>
      <c r="D363">
        <v>174.7</v>
      </c>
      <c r="E363">
        <v>212.2</v>
      </c>
      <c r="F363">
        <v>177.2</v>
      </c>
      <c r="G363">
        <v>177.9</v>
      </c>
      <c r="H363">
        <v>172.2</v>
      </c>
      <c r="I363">
        <v>172.1</v>
      </c>
      <c r="J363">
        <v>175.8</v>
      </c>
      <c r="K363">
        <v>172.2</v>
      </c>
      <c r="L363">
        <v>121.9</v>
      </c>
      <c r="M363">
        <v>204.8</v>
      </c>
      <c r="N363">
        <f t="shared" si="5"/>
        <v>176.09999999999997</v>
      </c>
      <c r="O363">
        <v>164.9</v>
      </c>
      <c r="P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row>
    <row r="364" spans="1:31" x14ac:dyDescent="0.25">
      <c r="A364" t="s">
        <v>34</v>
      </c>
      <c r="B364">
        <v>2023</v>
      </c>
      <c r="C364" t="s">
        <v>35</v>
      </c>
      <c r="D364">
        <v>174.4</v>
      </c>
      <c r="E364">
        <v>207.7</v>
      </c>
      <c r="F364">
        <v>175.2</v>
      </c>
      <c r="G364">
        <v>177.3</v>
      </c>
      <c r="H364">
        <v>179.3</v>
      </c>
      <c r="I364">
        <v>169.5</v>
      </c>
      <c r="J364">
        <v>152.69999999999999</v>
      </c>
      <c r="K364">
        <v>171</v>
      </c>
      <c r="L364">
        <v>120</v>
      </c>
      <c r="M364">
        <v>209.7</v>
      </c>
      <c r="N364">
        <f t="shared" si="5"/>
        <v>173.68</v>
      </c>
      <c r="O364">
        <v>172.3</v>
      </c>
      <c r="P364">
        <v>193</v>
      </c>
      <c r="Q364">
        <v>177</v>
      </c>
      <c r="R364">
        <v>199.5</v>
      </c>
      <c r="S364">
        <v>186.2</v>
      </c>
      <c r="T364">
        <v>178.7</v>
      </c>
      <c r="U364">
        <v>185.1</v>
      </c>
      <c r="V364">
        <v>173.5</v>
      </c>
      <c r="W364">
        <v>182.1</v>
      </c>
      <c r="X364">
        <v>174.2</v>
      </c>
      <c r="Y364">
        <v>184.4</v>
      </c>
      <c r="Z364">
        <v>164.2</v>
      </c>
      <c r="AA364">
        <v>170.3</v>
      </c>
      <c r="AB364">
        <v>175</v>
      </c>
      <c r="AC364">
        <v>181</v>
      </c>
      <c r="AD364">
        <v>174.1</v>
      </c>
      <c r="AE364">
        <v>177.2</v>
      </c>
    </row>
    <row r="365" spans="1:31" x14ac:dyDescent="0.25">
      <c r="A365" t="s">
        <v>30</v>
      </c>
      <c r="B365">
        <v>2023</v>
      </c>
      <c r="C365" t="s">
        <v>36</v>
      </c>
      <c r="D365">
        <v>174.3</v>
      </c>
      <c r="E365">
        <v>205.2</v>
      </c>
      <c r="F365">
        <v>173.9</v>
      </c>
      <c r="G365">
        <v>177</v>
      </c>
      <c r="H365">
        <v>183.3</v>
      </c>
      <c r="I365">
        <v>167.2</v>
      </c>
      <c r="J365">
        <v>140.9</v>
      </c>
      <c r="K365">
        <v>170.5</v>
      </c>
      <c r="L365">
        <v>119.1</v>
      </c>
      <c r="M365">
        <v>212.1</v>
      </c>
      <c r="N365">
        <f t="shared" si="5"/>
        <v>172.35</v>
      </c>
      <c r="O365">
        <v>177.6</v>
      </c>
      <c r="P365">
        <v>189.9</v>
      </c>
      <c r="Q365">
        <v>174.8</v>
      </c>
      <c r="R365">
        <v>198.4</v>
      </c>
      <c r="S365">
        <v>190</v>
      </c>
      <c r="T365">
        <v>187</v>
      </c>
      <c r="U365">
        <v>189.6</v>
      </c>
      <c r="V365">
        <v>139.25</v>
      </c>
      <c r="W365">
        <v>181.4</v>
      </c>
      <c r="X365">
        <v>178.6</v>
      </c>
      <c r="Y365">
        <v>186.6</v>
      </c>
      <c r="Z365">
        <v>169</v>
      </c>
      <c r="AA365">
        <v>172.8</v>
      </c>
      <c r="AB365">
        <v>178.5</v>
      </c>
      <c r="AC365">
        <v>180.7</v>
      </c>
      <c r="AD365">
        <v>177.9</v>
      </c>
      <c r="AE365">
        <v>178</v>
      </c>
    </row>
    <row r="366" spans="1:31" x14ac:dyDescent="0.25">
      <c r="A366" t="s">
        <v>33</v>
      </c>
      <c r="B366">
        <v>2023</v>
      </c>
      <c r="C366" t="s">
        <v>36</v>
      </c>
      <c r="D366">
        <v>174.7</v>
      </c>
      <c r="E366">
        <v>212.2</v>
      </c>
      <c r="F366">
        <v>177.2</v>
      </c>
      <c r="G366">
        <v>177.9</v>
      </c>
      <c r="H366">
        <v>172.2</v>
      </c>
      <c r="I366">
        <v>172.1</v>
      </c>
      <c r="J366">
        <v>175.9</v>
      </c>
      <c r="K366">
        <v>172.2</v>
      </c>
      <c r="L366">
        <v>121.9</v>
      </c>
      <c r="M366">
        <v>204.8</v>
      </c>
      <c r="N366">
        <f t="shared" si="5"/>
        <v>176.10999999999999</v>
      </c>
      <c r="O366">
        <v>164.9</v>
      </c>
      <c r="P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row>
    <row r="367" spans="1:31" x14ac:dyDescent="0.25">
      <c r="A367" t="s">
        <v>34</v>
      </c>
      <c r="B367">
        <v>2023</v>
      </c>
      <c r="C367" t="s">
        <v>36</v>
      </c>
      <c r="D367">
        <v>174.4</v>
      </c>
      <c r="E367">
        <v>207.7</v>
      </c>
      <c r="F367">
        <v>175.2</v>
      </c>
      <c r="G367">
        <v>177.3</v>
      </c>
      <c r="H367">
        <v>179.2</v>
      </c>
      <c r="I367">
        <v>169.5</v>
      </c>
      <c r="J367">
        <v>152.80000000000001</v>
      </c>
      <c r="K367">
        <v>171.1</v>
      </c>
      <c r="L367">
        <v>120</v>
      </c>
      <c r="M367">
        <v>209.7</v>
      </c>
      <c r="N367">
        <f t="shared" si="5"/>
        <v>173.69</v>
      </c>
      <c r="O367">
        <v>172.3</v>
      </c>
      <c r="P367">
        <v>193</v>
      </c>
      <c r="Q367">
        <v>177</v>
      </c>
      <c r="R367">
        <v>199.5</v>
      </c>
      <c r="S367">
        <v>186.1</v>
      </c>
      <c r="T367">
        <v>178.7</v>
      </c>
      <c r="U367">
        <v>185.1</v>
      </c>
      <c r="V367">
        <v>173.5</v>
      </c>
      <c r="W367">
        <v>181.9</v>
      </c>
      <c r="X367">
        <v>174.2</v>
      </c>
      <c r="Y367">
        <v>184.4</v>
      </c>
      <c r="Z367">
        <v>164.2</v>
      </c>
      <c r="AA367">
        <v>170.3</v>
      </c>
      <c r="AB367">
        <v>175</v>
      </c>
      <c r="AC367">
        <v>181</v>
      </c>
      <c r="AD367">
        <v>174.1</v>
      </c>
      <c r="AE367">
        <v>177.2</v>
      </c>
    </row>
    <row r="368" spans="1:31" x14ac:dyDescent="0.25">
      <c r="A368" t="s">
        <v>30</v>
      </c>
      <c r="B368">
        <v>2023</v>
      </c>
      <c r="C368" t="s">
        <v>37</v>
      </c>
      <c r="D368">
        <v>173.3</v>
      </c>
      <c r="E368">
        <v>206.9</v>
      </c>
      <c r="F368">
        <v>167.9</v>
      </c>
      <c r="G368">
        <v>178.2</v>
      </c>
      <c r="H368">
        <v>178.5</v>
      </c>
      <c r="I368">
        <v>173.7</v>
      </c>
      <c r="J368">
        <v>142.80000000000001</v>
      </c>
      <c r="K368">
        <v>172.8</v>
      </c>
      <c r="L368">
        <v>120.4</v>
      </c>
      <c r="M368">
        <v>215.5</v>
      </c>
      <c r="N368">
        <f t="shared" si="5"/>
        <v>173</v>
      </c>
      <c r="O368">
        <v>178.2</v>
      </c>
      <c r="P368">
        <v>190.5</v>
      </c>
      <c r="Q368">
        <v>175.5</v>
      </c>
      <c r="R368">
        <v>199.5</v>
      </c>
      <c r="S368">
        <v>190.7</v>
      </c>
      <c r="T368">
        <v>187.3</v>
      </c>
      <c r="U368">
        <v>190.2</v>
      </c>
      <c r="V368">
        <v>139.25</v>
      </c>
      <c r="W368">
        <v>181.5</v>
      </c>
      <c r="X368">
        <v>179.1</v>
      </c>
      <c r="Y368">
        <v>187.2</v>
      </c>
      <c r="Z368">
        <v>169.4</v>
      </c>
      <c r="AA368">
        <v>173.2</v>
      </c>
      <c r="AB368">
        <v>179.4</v>
      </c>
      <c r="AC368">
        <v>183.8</v>
      </c>
      <c r="AD368">
        <v>178.9</v>
      </c>
      <c r="AE368">
        <v>178.8</v>
      </c>
    </row>
    <row r="369" spans="1:31" x14ac:dyDescent="0.25">
      <c r="A369" t="s">
        <v>33</v>
      </c>
      <c r="B369">
        <v>2023</v>
      </c>
      <c r="C369" t="s">
        <v>37</v>
      </c>
      <c r="D369">
        <v>174.8</v>
      </c>
      <c r="E369">
        <v>213.7</v>
      </c>
      <c r="F369">
        <v>172.4</v>
      </c>
      <c r="G369">
        <v>178.8</v>
      </c>
      <c r="H369">
        <v>168.7</v>
      </c>
      <c r="I369">
        <v>179.2</v>
      </c>
      <c r="J369">
        <v>179.9</v>
      </c>
      <c r="K369">
        <v>174.7</v>
      </c>
      <c r="L369">
        <v>123.1</v>
      </c>
      <c r="M369">
        <v>207.8</v>
      </c>
      <c r="N369">
        <f t="shared" si="5"/>
        <v>177.31</v>
      </c>
      <c r="O369">
        <v>165.5</v>
      </c>
      <c r="P369">
        <v>197</v>
      </c>
      <c r="Q369">
        <v>182.1</v>
      </c>
      <c r="R369">
        <v>203.5</v>
      </c>
      <c r="S369">
        <v>181</v>
      </c>
      <c r="T369">
        <v>167.7</v>
      </c>
      <c r="U369">
        <v>178.9</v>
      </c>
      <c r="V369">
        <v>175.2</v>
      </c>
      <c r="W369">
        <v>182.1</v>
      </c>
      <c r="X369">
        <v>169.6</v>
      </c>
      <c r="Y369">
        <v>181.5</v>
      </c>
      <c r="Z369">
        <v>160.1</v>
      </c>
      <c r="AA369">
        <v>168.8</v>
      </c>
      <c r="AB369">
        <v>174.2</v>
      </c>
      <c r="AC369">
        <v>184.4</v>
      </c>
      <c r="AD369">
        <v>170.9</v>
      </c>
      <c r="AE369">
        <v>177.4</v>
      </c>
    </row>
    <row r="370" spans="1:31" x14ac:dyDescent="0.25">
      <c r="A370" t="s">
        <v>34</v>
      </c>
      <c r="B370">
        <v>2023</v>
      </c>
      <c r="C370" t="s">
        <v>37</v>
      </c>
      <c r="D370">
        <v>173.8</v>
      </c>
      <c r="E370">
        <v>209.3</v>
      </c>
      <c r="F370">
        <v>169.6</v>
      </c>
      <c r="G370">
        <v>178.4</v>
      </c>
      <c r="H370">
        <v>174.9</v>
      </c>
      <c r="I370">
        <v>176.3</v>
      </c>
      <c r="J370">
        <v>155.4</v>
      </c>
      <c r="K370">
        <v>173.4</v>
      </c>
      <c r="L370">
        <v>121.3</v>
      </c>
      <c r="M370">
        <v>212.9</v>
      </c>
      <c r="N370">
        <f t="shared" si="5"/>
        <v>174.53000000000003</v>
      </c>
      <c r="O370">
        <v>172.9</v>
      </c>
      <c r="P370">
        <v>193.5</v>
      </c>
      <c r="Q370">
        <v>177.9</v>
      </c>
      <c r="R370">
        <v>200.6</v>
      </c>
      <c r="S370">
        <v>186.9</v>
      </c>
      <c r="T370">
        <v>179.2</v>
      </c>
      <c r="U370">
        <v>185.7</v>
      </c>
      <c r="V370">
        <v>175.2</v>
      </c>
      <c r="W370">
        <v>181.7</v>
      </c>
      <c r="X370">
        <v>174.6</v>
      </c>
      <c r="Y370">
        <v>185</v>
      </c>
      <c r="Z370">
        <v>164.5</v>
      </c>
      <c r="AA370">
        <v>170.7</v>
      </c>
      <c r="AB370">
        <v>176.4</v>
      </c>
      <c r="AC370">
        <v>184</v>
      </c>
      <c r="AD370">
        <v>175</v>
      </c>
      <c r="AE370">
        <v>178.1</v>
      </c>
    </row>
    <row r="371" spans="1:31" x14ac:dyDescent="0.25">
      <c r="A371" t="s">
        <v>30</v>
      </c>
      <c r="B371">
        <v>2023</v>
      </c>
      <c r="C371" t="s">
        <v>38</v>
      </c>
      <c r="D371">
        <v>173.2</v>
      </c>
      <c r="E371">
        <v>211.5</v>
      </c>
      <c r="F371">
        <v>171</v>
      </c>
      <c r="G371">
        <v>179.6</v>
      </c>
      <c r="H371">
        <v>173.3</v>
      </c>
      <c r="I371">
        <v>169</v>
      </c>
      <c r="J371">
        <v>148.69999999999999</v>
      </c>
      <c r="K371">
        <v>174.9</v>
      </c>
      <c r="L371">
        <v>121.9</v>
      </c>
      <c r="M371">
        <v>221</v>
      </c>
      <c r="N371">
        <f t="shared" si="5"/>
        <v>174.41000000000003</v>
      </c>
      <c r="O371">
        <v>178.7</v>
      </c>
      <c r="P371">
        <v>191.1</v>
      </c>
      <c r="Q371">
        <v>176.8</v>
      </c>
      <c r="R371">
        <v>199.9</v>
      </c>
      <c r="S371">
        <v>191.2</v>
      </c>
      <c r="T371">
        <v>187.9</v>
      </c>
      <c r="U371">
        <v>190.8</v>
      </c>
      <c r="V371">
        <v>139.25</v>
      </c>
      <c r="W371">
        <v>182.5</v>
      </c>
      <c r="X371">
        <v>179.8</v>
      </c>
      <c r="Y371">
        <v>187.8</v>
      </c>
      <c r="Z371">
        <v>169.7</v>
      </c>
      <c r="AA371">
        <v>173.8</v>
      </c>
      <c r="AB371">
        <v>180.3</v>
      </c>
      <c r="AC371">
        <v>184.9</v>
      </c>
      <c r="AD371">
        <v>179.5</v>
      </c>
      <c r="AE371">
        <v>179.8</v>
      </c>
    </row>
    <row r="372" spans="1:31" x14ac:dyDescent="0.25">
      <c r="A372" t="s">
        <v>33</v>
      </c>
      <c r="B372">
        <v>2023</v>
      </c>
      <c r="C372" t="s">
        <v>38</v>
      </c>
      <c r="D372">
        <v>174.7</v>
      </c>
      <c r="E372">
        <v>219.4</v>
      </c>
      <c r="F372">
        <v>176.7</v>
      </c>
      <c r="G372">
        <v>179.4</v>
      </c>
      <c r="H372">
        <v>164.4</v>
      </c>
      <c r="I372">
        <v>175.8</v>
      </c>
      <c r="J372">
        <v>185</v>
      </c>
      <c r="K372">
        <v>176.9</v>
      </c>
      <c r="L372">
        <v>124.2</v>
      </c>
      <c r="M372">
        <v>211.9</v>
      </c>
      <c r="N372">
        <f t="shared" si="5"/>
        <v>178.84</v>
      </c>
      <c r="O372">
        <v>165.9</v>
      </c>
      <c r="P372">
        <v>197.7</v>
      </c>
      <c r="Q372">
        <v>183.1</v>
      </c>
      <c r="R372">
        <v>204.2</v>
      </c>
      <c r="S372">
        <v>181.3</v>
      </c>
      <c r="T372">
        <v>168.1</v>
      </c>
      <c r="U372">
        <v>179.3</v>
      </c>
      <c r="V372">
        <v>175.6</v>
      </c>
      <c r="W372">
        <v>183.4</v>
      </c>
      <c r="X372">
        <v>170.1</v>
      </c>
      <c r="Y372">
        <v>182.2</v>
      </c>
      <c r="Z372">
        <v>160.4</v>
      </c>
      <c r="AA372">
        <v>169.2</v>
      </c>
      <c r="AB372">
        <v>174.8</v>
      </c>
      <c r="AC372">
        <v>185.6</v>
      </c>
      <c r="AD372">
        <v>171.6</v>
      </c>
      <c r="AE372">
        <v>178.2</v>
      </c>
    </row>
    <row r="373" spans="1:31" x14ac:dyDescent="0.25">
      <c r="A373" t="s">
        <v>34</v>
      </c>
      <c r="B373">
        <v>2023</v>
      </c>
      <c r="C373" t="s">
        <v>38</v>
      </c>
      <c r="D373">
        <v>173.7</v>
      </c>
      <c r="E373">
        <v>214.3</v>
      </c>
      <c r="F373">
        <v>173.2</v>
      </c>
      <c r="G373">
        <v>179.5</v>
      </c>
      <c r="H373">
        <v>170</v>
      </c>
      <c r="I373">
        <v>172.2</v>
      </c>
      <c r="J373">
        <v>161</v>
      </c>
      <c r="K373">
        <v>175.6</v>
      </c>
      <c r="L373">
        <v>122.7</v>
      </c>
      <c r="M373">
        <v>218</v>
      </c>
      <c r="N373">
        <f t="shared" si="5"/>
        <v>176.02</v>
      </c>
      <c r="O373">
        <v>173.4</v>
      </c>
      <c r="P373">
        <v>194.2</v>
      </c>
      <c r="Q373">
        <v>179.1</v>
      </c>
      <c r="R373">
        <v>201</v>
      </c>
      <c r="S373">
        <v>187.3</v>
      </c>
      <c r="T373">
        <v>179.7</v>
      </c>
      <c r="U373">
        <v>186.2</v>
      </c>
      <c r="V373">
        <v>175.6</v>
      </c>
      <c r="W373">
        <v>182.8</v>
      </c>
      <c r="X373">
        <v>175.2</v>
      </c>
      <c r="Y373">
        <v>185.7</v>
      </c>
      <c r="Z373">
        <v>164.8</v>
      </c>
      <c r="AA373">
        <v>171.2</v>
      </c>
      <c r="AB373">
        <v>177.1</v>
      </c>
      <c r="AC373">
        <v>185.2</v>
      </c>
      <c r="AD373">
        <v>175.7</v>
      </c>
      <c r="AE373">
        <v>179.1</v>
      </c>
    </row>
  </sheetData>
  <autoFilter ref="A1:AE373" xr:uid="{03C1F957-76F2-4577-A966-FF9BB109815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2CEF2-0736-41C1-ADEA-FC950AD9B754}">
  <dimension ref="A1:R32"/>
  <sheetViews>
    <sheetView tabSelected="1" zoomScale="90" zoomScaleNormal="90" workbookViewId="0">
      <selection activeCell="R358" sqref="R358"/>
    </sheetView>
  </sheetViews>
  <sheetFormatPr defaultRowHeight="15" x14ac:dyDescent="0.25"/>
  <cols>
    <col min="2" max="2" width="16.28515625" customWidth="1"/>
    <col min="3" max="3" width="18" customWidth="1"/>
    <col min="4" max="4" width="15.85546875" bestFit="1" customWidth="1"/>
    <col min="5" max="5" width="16.42578125" customWidth="1"/>
    <col min="6" max="6" width="14.42578125" customWidth="1"/>
    <col min="7" max="7" width="4" bestFit="1" customWidth="1"/>
    <col min="8" max="8" width="27.85546875" bestFit="1" customWidth="1"/>
    <col min="9" max="9" width="15.7109375" customWidth="1"/>
    <col min="10" max="10" width="15.85546875" bestFit="1" customWidth="1"/>
    <col min="11" max="11" width="8.7109375" bestFit="1" customWidth="1"/>
    <col min="12" max="12" width="27.85546875" bestFit="1" customWidth="1"/>
    <col min="13" max="13" width="11.42578125" customWidth="1"/>
    <col min="14" max="14" width="15.85546875" bestFit="1" customWidth="1"/>
    <col min="15" max="15" width="15.28515625" customWidth="1"/>
    <col min="16" max="16" width="31" bestFit="1" customWidth="1"/>
    <col min="17" max="17" width="15.7109375" customWidth="1"/>
    <col min="18" max="18" width="15.85546875" bestFit="1" customWidth="1"/>
    <col min="19" max="19" width="9.7109375" customWidth="1"/>
    <col min="21" max="21" width="8.140625" bestFit="1" customWidth="1"/>
    <col min="22" max="22" width="8.5703125" bestFit="1" customWidth="1"/>
    <col min="23" max="23" width="12.140625" customWidth="1"/>
    <col min="24" max="24" width="6.85546875" bestFit="1" customWidth="1"/>
    <col min="25" max="25" width="14.7109375" customWidth="1"/>
    <col min="26" max="26" width="13.140625" customWidth="1"/>
    <col min="27" max="28" width="10.42578125" customWidth="1"/>
    <col min="29" max="29" width="15.140625" customWidth="1"/>
  </cols>
  <sheetData>
    <row r="1" spans="1:18" x14ac:dyDescent="0.25">
      <c r="A1" s="1" t="s">
        <v>49</v>
      </c>
    </row>
    <row r="2" spans="1:18" x14ac:dyDescent="0.25">
      <c r="A2" t="s">
        <v>61</v>
      </c>
    </row>
    <row r="3" spans="1:18" x14ac:dyDescent="0.25">
      <c r="A3" t="s">
        <v>62</v>
      </c>
    </row>
    <row r="5" spans="1:18" ht="15.75" x14ac:dyDescent="0.25">
      <c r="H5" s="33" t="s">
        <v>97</v>
      </c>
      <c r="I5" s="33"/>
      <c r="J5" s="33"/>
      <c r="L5" s="33" t="s">
        <v>30</v>
      </c>
      <c r="M5" s="33"/>
      <c r="N5" s="33"/>
      <c r="P5" s="33" t="s">
        <v>33</v>
      </c>
      <c r="Q5" s="33"/>
      <c r="R5" s="33"/>
    </row>
    <row r="6" spans="1:18" ht="45" x14ac:dyDescent="0.25">
      <c r="B6" s="4" t="s">
        <v>64</v>
      </c>
      <c r="C6" s="4" t="s">
        <v>89</v>
      </c>
      <c r="D6" s="4" t="s">
        <v>91</v>
      </c>
      <c r="E6" s="4" t="s">
        <v>92</v>
      </c>
      <c r="F6" s="4" t="s">
        <v>93</v>
      </c>
      <c r="H6" s="4" t="s">
        <v>64</v>
      </c>
      <c r="I6" s="4" t="s">
        <v>91</v>
      </c>
      <c r="J6" s="27" t="s">
        <v>65</v>
      </c>
      <c r="L6" s="4" t="s">
        <v>64</v>
      </c>
      <c r="M6" s="4" t="s">
        <v>92</v>
      </c>
      <c r="N6" s="27" t="s">
        <v>65</v>
      </c>
      <c r="P6" s="4" t="s">
        <v>64</v>
      </c>
      <c r="Q6" s="4" t="s">
        <v>92</v>
      </c>
      <c r="R6" s="27" t="s">
        <v>65</v>
      </c>
    </row>
    <row r="7" spans="1:18" ht="30" x14ac:dyDescent="0.25">
      <c r="B7" s="34" t="s">
        <v>90</v>
      </c>
      <c r="C7" s="4" t="s">
        <v>3</v>
      </c>
      <c r="D7" s="11">
        <v>173.7</v>
      </c>
      <c r="E7" s="11">
        <v>173.2</v>
      </c>
      <c r="F7" s="11">
        <v>174.7</v>
      </c>
      <c r="H7" s="22" t="s">
        <v>90</v>
      </c>
      <c r="I7" s="11">
        <v>2306.9</v>
      </c>
      <c r="J7" s="32">
        <v>0.49563853557923682</v>
      </c>
      <c r="L7" s="22" t="s">
        <v>90</v>
      </c>
      <c r="M7" s="11">
        <f>SUM(E7:E19)</f>
        <v>2290.7000000000007</v>
      </c>
      <c r="N7" s="32">
        <v>0.4921579580611895</v>
      </c>
      <c r="P7" s="22" t="s">
        <v>90</v>
      </c>
      <c r="Q7" s="11">
        <f>SUM(F7:F19)</f>
        <v>2335.1</v>
      </c>
      <c r="R7" s="32">
        <v>0.50169731866620826</v>
      </c>
    </row>
    <row r="8" spans="1:18" x14ac:dyDescent="0.25">
      <c r="B8" s="34"/>
      <c r="C8" s="4" t="s">
        <v>4</v>
      </c>
      <c r="D8" s="11">
        <v>214.3</v>
      </c>
      <c r="E8" s="11">
        <v>211.5</v>
      </c>
      <c r="F8" s="11">
        <v>219.4</v>
      </c>
      <c r="H8" s="11" t="s">
        <v>94</v>
      </c>
      <c r="I8" s="11">
        <v>201</v>
      </c>
      <c r="J8" s="24">
        <v>4.3184943279477479E-2</v>
      </c>
      <c r="L8" s="11" t="s">
        <v>94</v>
      </c>
      <c r="M8" s="11">
        <v>199.9</v>
      </c>
      <c r="N8" s="24">
        <v>4.2948607768992779E-2</v>
      </c>
      <c r="P8" s="11" t="s">
        <v>94</v>
      </c>
      <c r="Q8" s="11">
        <v>204.2</v>
      </c>
      <c r="R8" s="24">
        <v>4.3872464764523882E-2</v>
      </c>
    </row>
    <row r="9" spans="1:18" x14ac:dyDescent="0.25">
      <c r="B9" s="34"/>
      <c r="C9" s="4" t="s">
        <v>5</v>
      </c>
      <c r="D9" s="11">
        <v>173.2</v>
      </c>
      <c r="E9" s="11">
        <v>171</v>
      </c>
      <c r="F9" s="11">
        <v>176.7</v>
      </c>
      <c r="H9" s="11" t="s">
        <v>95</v>
      </c>
      <c r="I9" s="11">
        <v>553.20000000000005</v>
      </c>
      <c r="J9" s="24">
        <v>0.11885527672739772</v>
      </c>
      <c r="L9" s="11" t="s">
        <v>95</v>
      </c>
      <c r="M9" s="11">
        <f>SUM(E21:E23)</f>
        <v>569.90000000000009</v>
      </c>
      <c r="N9" s="24">
        <v>0.12244327947748368</v>
      </c>
      <c r="P9" s="11" t="s">
        <v>95</v>
      </c>
      <c r="Q9" s="11">
        <v>528.70000000000005</v>
      </c>
      <c r="R9" s="24">
        <v>0.11359144035751118</v>
      </c>
    </row>
    <row r="10" spans="1:18" x14ac:dyDescent="0.25">
      <c r="B10" s="34"/>
      <c r="C10" s="4" t="s">
        <v>6</v>
      </c>
      <c r="D10" s="11">
        <v>179.5</v>
      </c>
      <c r="E10" s="11">
        <v>179.6</v>
      </c>
      <c r="F10" s="11">
        <v>179.4</v>
      </c>
      <c r="H10" s="11" t="s">
        <v>96</v>
      </c>
      <c r="I10" s="11">
        <v>533.59999999999991</v>
      </c>
      <c r="J10" s="24">
        <v>0.11464420763148846</v>
      </c>
      <c r="L10" s="11" t="s">
        <v>96</v>
      </c>
      <c r="M10" s="11">
        <f>SUM(E24:E26)</f>
        <v>362.3</v>
      </c>
      <c r="N10" s="24">
        <v>7.7840323135097964E-2</v>
      </c>
      <c r="P10" s="11" t="s">
        <v>96</v>
      </c>
      <c r="Q10" s="11">
        <v>529.1</v>
      </c>
      <c r="R10" s="24">
        <v>0.11367738054314197</v>
      </c>
    </row>
    <row r="11" spans="1:18" x14ac:dyDescent="0.25">
      <c r="B11" s="34"/>
      <c r="C11" s="4" t="s">
        <v>7</v>
      </c>
      <c r="D11" s="11">
        <v>170</v>
      </c>
      <c r="E11" s="11">
        <v>173.3</v>
      </c>
      <c r="F11" s="11">
        <v>164.4</v>
      </c>
      <c r="H11" s="11" t="s">
        <v>23</v>
      </c>
      <c r="I11" s="11">
        <v>185.7</v>
      </c>
      <c r="J11" s="24">
        <v>3.9897731179099338E-2</v>
      </c>
      <c r="L11" s="11" t="s">
        <v>23</v>
      </c>
      <c r="M11" s="11">
        <v>187.8</v>
      </c>
      <c r="N11" s="24">
        <v>4.0348917153661047E-2</v>
      </c>
      <c r="P11" s="11" t="s">
        <v>23</v>
      </c>
      <c r="Q11" s="11">
        <v>182.2</v>
      </c>
      <c r="R11" s="24">
        <v>3.9145754554829833E-2</v>
      </c>
    </row>
    <row r="12" spans="1:18" x14ac:dyDescent="0.25">
      <c r="B12" s="34"/>
      <c r="C12" s="4" t="s">
        <v>8</v>
      </c>
      <c r="D12" s="11">
        <v>172.2</v>
      </c>
      <c r="E12" s="11">
        <v>169</v>
      </c>
      <c r="F12" s="11">
        <v>175.8</v>
      </c>
      <c r="H12" s="11" t="s">
        <v>24</v>
      </c>
      <c r="I12" s="11">
        <v>164.8</v>
      </c>
      <c r="J12" s="24">
        <v>3.5407356479889997E-2</v>
      </c>
      <c r="L12" s="11" t="s">
        <v>24</v>
      </c>
      <c r="M12" s="11">
        <v>169.7</v>
      </c>
      <c r="N12" s="24">
        <v>3.6460123753867299E-2</v>
      </c>
      <c r="P12" s="11" t="s">
        <v>24</v>
      </c>
      <c r="Q12" s="11">
        <v>160.4</v>
      </c>
      <c r="R12" s="24">
        <v>3.4462014437951181E-2</v>
      </c>
    </row>
    <row r="13" spans="1:18" x14ac:dyDescent="0.25">
      <c r="B13" s="34"/>
      <c r="C13" s="4" t="s">
        <v>9</v>
      </c>
      <c r="D13" s="11">
        <v>161</v>
      </c>
      <c r="E13" s="11">
        <v>148.69999999999999</v>
      </c>
      <c r="F13" s="11">
        <v>185</v>
      </c>
      <c r="H13" s="11" t="s">
        <v>25</v>
      </c>
      <c r="I13" s="11">
        <v>171.2</v>
      </c>
      <c r="J13" s="24">
        <v>3.6782399449982808E-2</v>
      </c>
      <c r="L13" s="11" t="s">
        <v>25</v>
      </c>
      <c r="M13" s="11">
        <v>173.8</v>
      </c>
      <c r="N13" s="24">
        <v>3.7341010656583018E-2</v>
      </c>
      <c r="P13" s="11" t="s">
        <v>25</v>
      </c>
      <c r="Q13" s="11">
        <v>169.2</v>
      </c>
      <c r="R13" s="24">
        <v>3.6352698521828798E-2</v>
      </c>
    </row>
    <row r="14" spans="1:18" ht="30" x14ac:dyDescent="0.25">
      <c r="B14" s="34"/>
      <c r="C14" s="4" t="s">
        <v>10</v>
      </c>
      <c r="D14" s="11">
        <v>175.6</v>
      </c>
      <c r="E14" s="11">
        <v>174.9</v>
      </c>
      <c r="F14" s="11">
        <v>176.9</v>
      </c>
      <c r="H14" s="11" t="s">
        <v>26</v>
      </c>
      <c r="I14" s="11">
        <v>177.1</v>
      </c>
      <c r="J14" s="24">
        <v>3.8050017188037119E-2</v>
      </c>
      <c r="L14" s="11" t="s">
        <v>26</v>
      </c>
      <c r="M14" s="11">
        <v>180.3</v>
      </c>
      <c r="N14" s="24">
        <v>3.8737538673083528E-2</v>
      </c>
      <c r="P14" s="11" t="s">
        <v>26</v>
      </c>
      <c r="Q14" s="11">
        <v>174.8</v>
      </c>
      <c r="R14" s="24">
        <v>3.755586112066002E-2</v>
      </c>
    </row>
    <row r="15" spans="1:18" ht="30" x14ac:dyDescent="0.25">
      <c r="B15" s="34"/>
      <c r="C15" s="4" t="s">
        <v>11</v>
      </c>
      <c r="D15" s="11">
        <v>122.7</v>
      </c>
      <c r="E15" s="11">
        <v>121.9</v>
      </c>
      <c r="F15" s="11">
        <v>124.2</v>
      </c>
      <c r="H15" s="11" t="s">
        <v>27</v>
      </c>
      <c r="I15" s="11">
        <v>185.2</v>
      </c>
      <c r="J15" s="24">
        <v>3.9790305947060838E-2</v>
      </c>
      <c r="L15" s="11" t="s">
        <v>27</v>
      </c>
      <c r="M15" s="11">
        <v>184.9</v>
      </c>
      <c r="N15" s="24">
        <v>3.9725850807837741E-2</v>
      </c>
      <c r="P15" s="11" t="s">
        <v>27</v>
      </c>
      <c r="Q15" s="11">
        <v>185.6</v>
      </c>
      <c r="R15" s="24">
        <v>3.987624613269164E-2</v>
      </c>
    </row>
    <row r="16" spans="1:18" x14ac:dyDescent="0.25">
      <c r="B16" s="34"/>
      <c r="C16" s="4" t="s">
        <v>12</v>
      </c>
      <c r="D16" s="11">
        <v>218</v>
      </c>
      <c r="E16" s="11">
        <v>221</v>
      </c>
      <c r="F16" s="11">
        <v>211.9</v>
      </c>
      <c r="H16" s="11" t="s">
        <v>28</v>
      </c>
      <c r="I16" s="11">
        <v>175.7</v>
      </c>
      <c r="J16" s="24">
        <v>3.7749226538329315E-2</v>
      </c>
      <c r="L16" s="11" t="s">
        <v>28</v>
      </c>
      <c r="M16" s="11">
        <v>179.5</v>
      </c>
      <c r="N16" s="24">
        <v>3.8565658301821924E-2</v>
      </c>
      <c r="P16" s="11" t="s">
        <v>28</v>
      </c>
      <c r="Q16" s="11">
        <v>171.6</v>
      </c>
      <c r="R16" s="24">
        <v>3.686833963561361E-2</v>
      </c>
    </row>
    <row r="17" spans="2:17" ht="30" x14ac:dyDescent="0.25">
      <c r="B17" s="34"/>
      <c r="C17" s="4" t="s">
        <v>13</v>
      </c>
      <c r="D17" s="11">
        <v>173.4</v>
      </c>
      <c r="E17" s="11">
        <v>178.7</v>
      </c>
      <c r="F17" s="11">
        <v>165.9</v>
      </c>
      <c r="I17" s="9">
        <f>SUM(I7:I16)</f>
        <v>4654.4000000000005</v>
      </c>
      <c r="M17" s="9">
        <f>SUM(M7:M16)</f>
        <v>4498.8000000000011</v>
      </c>
      <c r="Q17" s="9">
        <f>SUM(Q7:Q16)</f>
        <v>4640.9000000000005</v>
      </c>
    </row>
    <row r="18" spans="2:17" ht="30" x14ac:dyDescent="0.25">
      <c r="B18" s="34"/>
      <c r="C18" s="4" t="s">
        <v>14</v>
      </c>
      <c r="D18" s="11">
        <v>194.2</v>
      </c>
      <c r="E18" s="11">
        <v>191.1</v>
      </c>
      <c r="F18" s="11">
        <v>197.7</v>
      </c>
    </row>
    <row r="19" spans="2:17" ht="30" x14ac:dyDescent="0.25">
      <c r="B19" s="34"/>
      <c r="C19" s="4" t="s">
        <v>15</v>
      </c>
      <c r="D19" s="11">
        <v>179.1</v>
      </c>
      <c r="E19" s="11">
        <v>176.8</v>
      </c>
      <c r="F19" s="11">
        <v>183.1</v>
      </c>
    </row>
    <row r="20" spans="2:17" ht="30" x14ac:dyDescent="0.25">
      <c r="B20" s="27" t="s">
        <v>94</v>
      </c>
      <c r="C20" s="4" t="s">
        <v>16</v>
      </c>
      <c r="D20" s="11">
        <v>201</v>
      </c>
      <c r="E20" s="11">
        <v>199.9</v>
      </c>
      <c r="F20" s="11">
        <v>204.2</v>
      </c>
    </row>
    <row r="21" spans="2:17" x14ac:dyDescent="0.25">
      <c r="B21" s="35" t="s">
        <v>95</v>
      </c>
      <c r="C21" s="4" t="s">
        <v>17</v>
      </c>
      <c r="D21" s="11">
        <v>187.3</v>
      </c>
      <c r="E21" s="11">
        <v>191.2</v>
      </c>
      <c r="F21" s="11">
        <v>181.3</v>
      </c>
    </row>
    <row r="22" spans="2:17" x14ac:dyDescent="0.25">
      <c r="B22" s="34"/>
      <c r="C22" s="4" t="s">
        <v>18</v>
      </c>
      <c r="D22" s="11">
        <v>179.7</v>
      </c>
      <c r="E22" s="11">
        <v>187.9</v>
      </c>
      <c r="F22" s="11">
        <v>168.1</v>
      </c>
    </row>
    <row r="23" spans="2:17" ht="30" x14ac:dyDescent="0.25">
      <c r="B23" s="34"/>
      <c r="C23" s="4" t="s">
        <v>19</v>
      </c>
      <c r="D23" s="11">
        <v>186.2</v>
      </c>
      <c r="E23" s="11">
        <v>190.8</v>
      </c>
      <c r="F23" s="11">
        <v>179.3</v>
      </c>
    </row>
    <row r="24" spans="2:17" x14ac:dyDescent="0.25">
      <c r="B24" s="35" t="s">
        <v>96</v>
      </c>
      <c r="C24" s="4" t="s">
        <v>20</v>
      </c>
      <c r="D24" s="11">
        <v>175.6</v>
      </c>
      <c r="E24" s="11" t="s">
        <v>48</v>
      </c>
      <c r="F24" s="11">
        <v>175.6</v>
      </c>
    </row>
    <row r="25" spans="2:17" x14ac:dyDescent="0.25">
      <c r="B25" s="34"/>
      <c r="C25" s="4" t="s">
        <v>21</v>
      </c>
      <c r="D25" s="11">
        <v>182.8</v>
      </c>
      <c r="E25" s="11">
        <v>182.5</v>
      </c>
      <c r="F25" s="11">
        <v>183.4</v>
      </c>
    </row>
    <row r="26" spans="2:17" ht="30" x14ac:dyDescent="0.25">
      <c r="B26" s="34"/>
      <c r="C26" s="4" t="s">
        <v>22</v>
      </c>
      <c r="D26" s="11">
        <v>175.2</v>
      </c>
      <c r="E26" s="11">
        <v>179.8</v>
      </c>
      <c r="F26" s="11">
        <v>170.1</v>
      </c>
    </row>
    <row r="27" spans="2:17" x14ac:dyDescent="0.25">
      <c r="B27" s="4" t="s">
        <v>23</v>
      </c>
      <c r="C27" s="4" t="s">
        <v>23</v>
      </c>
      <c r="D27" s="11">
        <v>185.7</v>
      </c>
      <c r="E27" s="11">
        <v>187.8</v>
      </c>
      <c r="F27" s="11">
        <v>182.2</v>
      </c>
    </row>
    <row r="28" spans="2:17" ht="30" x14ac:dyDescent="0.25">
      <c r="B28" s="4" t="s">
        <v>24</v>
      </c>
      <c r="C28" s="4" t="s">
        <v>24</v>
      </c>
      <c r="D28" s="11">
        <v>164.8</v>
      </c>
      <c r="E28" s="11">
        <v>169.7</v>
      </c>
      <c r="F28" s="11">
        <v>160.4</v>
      </c>
    </row>
    <row r="29" spans="2:17" ht="30" x14ac:dyDescent="0.25">
      <c r="B29" s="4" t="s">
        <v>25</v>
      </c>
      <c r="C29" s="4" t="s">
        <v>25</v>
      </c>
      <c r="D29" s="11">
        <v>171.2</v>
      </c>
      <c r="E29" s="11">
        <v>173.8</v>
      </c>
      <c r="F29" s="11">
        <v>169.2</v>
      </c>
    </row>
    <row r="30" spans="2:17" x14ac:dyDescent="0.25">
      <c r="B30" s="4" t="s">
        <v>26</v>
      </c>
      <c r="C30" s="4" t="s">
        <v>26</v>
      </c>
      <c r="D30" s="11">
        <v>177.1</v>
      </c>
      <c r="E30" s="11">
        <v>180.3</v>
      </c>
      <c r="F30" s="11">
        <v>174.8</v>
      </c>
    </row>
    <row r="31" spans="2:17" ht="30" x14ac:dyDescent="0.25">
      <c r="B31" s="4" t="s">
        <v>27</v>
      </c>
      <c r="C31" s="4" t="s">
        <v>27</v>
      </c>
      <c r="D31" s="11">
        <v>185.2</v>
      </c>
      <c r="E31" s="11">
        <v>184.9</v>
      </c>
      <c r="F31" s="11">
        <v>185.6</v>
      </c>
    </row>
    <row r="32" spans="2:17" x14ac:dyDescent="0.25">
      <c r="B32" s="4" t="s">
        <v>28</v>
      </c>
      <c r="C32" s="4" t="s">
        <v>28</v>
      </c>
      <c r="D32" s="11">
        <v>175.7</v>
      </c>
      <c r="E32" s="11">
        <v>179.5</v>
      </c>
      <c r="F32" s="11">
        <v>171.6</v>
      </c>
    </row>
  </sheetData>
  <mergeCells count="6">
    <mergeCell ref="P5:R5"/>
    <mergeCell ref="B7:B19"/>
    <mergeCell ref="B21:B23"/>
    <mergeCell ref="B24:B26"/>
    <mergeCell ref="H5:J5"/>
    <mergeCell ref="L5:N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B5ED0-C043-4A9B-86EE-E04AAD81C226}">
  <dimension ref="A1:R18"/>
  <sheetViews>
    <sheetView workbookViewId="0">
      <selection activeCell="D20" sqref="D20"/>
    </sheetView>
  </sheetViews>
  <sheetFormatPr defaultRowHeight="15" x14ac:dyDescent="0.25"/>
  <cols>
    <col min="2" max="2" width="11.85546875" bestFit="1" customWidth="1"/>
    <col min="3" max="3" width="5" bestFit="1" customWidth="1"/>
    <col min="4" max="4" width="6.85546875" bestFit="1" customWidth="1"/>
    <col min="5" max="5" width="10.140625" bestFit="1" customWidth="1"/>
    <col min="6" max="6" width="15.7109375" customWidth="1"/>
    <col min="7" max="7" width="9.140625" bestFit="1" customWidth="1"/>
    <col min="8" max="8" width="14" customWidth="1"/>
    <col min="9" max="9" width="13.140625" bestFit="1" customWidth="1"/>
    <col min="10" max="10" width="13" customWidth="1"/>
    <col min="11" max="11" width="6.85546875" bestFit="1" customWidth="1"/>
    <col min="12" max="12" width="10.5703125" bestFit="1" customWidth="1"/>
    <col min="13" max="13" width="14.85546875" bestFit="1" customWidth="1"/>
    <col min="14" max="14" width="17.42578125" customWidth="1"/>
    <col min="15" max="15" width="9.7109375" bestFit="1" customWidth="1"/>
    <col min="16" max="16" width="10.5703125" bestFit="1" customWidth="1"/>
    <col min="17" max="17" width="8.140625" bestFit="1" customWidth="1"/>
    <col min="18" max="18" width="10.5703125" bestFit="1" customWidth="1"/>
  </cols>
  <sheetData>
    <row r="1" spans="1:18" x14ac:dyDescent="0.25">
      <c r="A1" s="1" t="s">
        <v>50</v>
      </c>
    </row>
    <row r="2" spans="1:18" x14ac:dyDescent="0.25">
      <c r="A2" s="2" t="s">
        <v>51</v>
      </c>
    </row>
    <row r="3" spans="1:18" x14ac:dyDescent="0.25">
      <c r="A3" s="2" t="s">
        <v>52</v>
      </c>
    </row>
    <row r="6" spans="1:18" ht="30" x14ac:dyDescent="0.25">
      <c r="B6" s="11" t="s">
        <v>0</v>
      </c>
      <c r="C6" s="11" t="s">
        <v>1</v>
      </c>
      <c r="D6" s="11" t="s">
        <v>2</v>
      </c>
      <c r="E6" s="13" t="s">
        <v>76</v>
      </c>
      <c r="F6" s="13" t="s">
        <v>77</v>
      </c>
      <c r="G6" s="17"/>
      <c r="H6" s="17"/>
      <c r="I6" s="9"/>
      <c r="J6" s="17"/>
      <c r="K6" s="9"/>
      <c r="L6" s="17"/>
      <c r="M6" s="17"/>
      <c r="N6" s="17"/>
      <c r="O6" s="9"/>
      <c r="P6" s="17"/>
      <c r="Q6" s="9"/>
      <c r="R6" s="17"/>
    </row>
    <row r="7" spans="1:18" x14ac:dyDescent="0.25">
      <c r="B7" s="11" t="s">
        <v>34</v>
      </c>
      <c r="C7" s="11">
        <v>2017</v>
      </c>
      <c r="D7" s="11" t="s">
        <v>37</v>
      </c>
      <c r="E7" s="7">
        <v>131.1</v>
      </c>
      <c r="F7" s="12"/>
      <c r="G7" s="9"/>
      <c r="H7" s="18"/>
      <c r="I7" s="9"/>
      <c r="J7" s="18"/>
      <c r="K7" s="9"/>
      <c r="L7" s="18"/>
      <c r="M7" s="9"/>
      <c r="N7" s="18"/>
      <c r="O7" s="9"/>
      <c r="P7" s="18"/>
      <c r="Q7" s="9"/>
      <c r="R7" s="18"/>
    </row>
    <row r="8" spans="1:18" x14ac:dyDescent="0.25">
      <c r="B8" s="11" t="s">
        <v>34</v>
      </c>
      <c r="C8" s="11">
        <v>2018</v>
      </c>
      <c r="D8" s="11" t="s">
        <v>37</v>
      </c>
      <c r="E8" s="7">
        <v>137.1</v>
      </c>
      <c r="F8" s="12">
        <f t="shared" ref="F8:F12" si="0">(E8-E7)/E7</f>
        <v>4.5766590389016024E-2</v>
      </c>
      <c r="G8" s="9"/>
      <c r="H8" s="18"/>
      <c r="I8" s="9"/>
      <c r="J8" s="18"/>
      <c r="K8" s="9"/>
      <c r="L8" s="18"/>
      <c r="M8" s="9"/>
      <c r="N8" s="18"/>
      <c r="O8" s="9"/>
      <c r="P8" s="18"/>
      <c r="Q8" s="9"/>
      <c r="R8" s="18"/>
    </row>
    <row r="9" spans="1:18" x14ac:dyDescent="0.25">
      <c r="B9" s="11" t="s">
        <v>34</v>
      </c>
      <c r="C9" s="11">
        <v>2020</v>
      </c>
      <c r="D9" s="11" t="s">
        <v>37</v>
      </c>
      <c r="E9" s="7">
        <v>139.56</v>
      </c>
      <c r="F9" s="12">
        <f t="shared" si="0"/>
        <v>1.7943107221006623E-2</v>
      </c>
      <c r="G9" s="19"/>
      <c r="H9" s="20"/>
      <c r="I9" s="19"/>
      <c r="J9" s="20"/>
      <c r="K9" s="19"/>
      <c r="L9" s="20"/>
      <c r="M9" s="19"/>
      <c r="N9" s="20"/>
      <c r="O9" s="19"/>
      <c r="P9" s="18"/>
      <c r="Q9" s="9"/>
      <c r="R9" s="18"/>
    </row>
    <row r="10" spans="1:18" x14ac:dyDescent="0.25">
      <c r="B10" s="11" t="s">
        <v>34</v>
      </c>
      <c r="C10" s="22">
        <v>2021</v>
      </c>
      <c r="D10" s="11" t="s">
        <v>37</v>
      </c>
      <c r="E10" s="7">
        <v>157.80000000000001</v>
      </c>
      <c r="F10" s="21">
        <f t="shared" si="0"/>
        <v>0.13069647463456585</v>
      </c>
      <c r="G10" s="9"/>
      <c r="H10" s="18"/>
      <c r="I10" s="9"/>
      <c r="J10" s="18"/>
      <c r="K10" s="9"/>
      <c r="L10" s="18"/>
      <c r="M10" s="9"/>
      <c r="N10" s="18"/>
      <c r="O10" s="9"/>
      <c r="P10" s="18"/>
      <c r="Q10" s="9"/>
      <c r="R10" s="18"/>
    </row>
    <row r="11" spans="1:18" x14ac:dyDescent="0.25">
      <c r="B11" s="11" t="s">
        <v>34</v>
      </c>
      <c r="C11" s="11">
        <v>2022</v>
      </c>
      <c r="D11" s="11" t="s">
        <v>37</v>
      </c>
      <c r="E11" s="7">
        <v>170.1</v>
      </c>
      <c r="F11" s="12">
        <f t="shared" si="0"/>
        <v>7.7946768060836391E-2</v>
      </c>
      <c r="G11" s="9"/>
      <c r="H11" s="18"/>
      <c r="I11" s="9"/>
      <c r="J11" s="18"/>
      <c r="K11" s="9"/>
      <c r="L11" s="18"/>
      <c r="M11" s="9"/>
      <c r="N11" s="18"/>
      <c r="O11" s="9"/>
      <c r="P11" s="18"/>
      <c r="Q11" s="9"/>
      <c r="R11" s="18"/>
    </row>
    <row r="12" spans="1:18" x14ac:dyDescent="0.25">
      <c r="B12" s="11" t="s">
        <v>34</v>
      </c>
      <c r="C12" s="11">
        <v>2023</v>
      </c>
      <c r="D12" s="11" t="s">
        <v>37</v>
      </c>
      <c r="E12" s="7">
        <v>178.1</v>
      </c>
      <c r="F12" s="12">
        <f t="shared" si="0"/>
        <v>4.7031158142269255E-2</v>
      </c>
      <c r="G12" s="9"/>
      <c r="H12" s="18"/>
      <c r="I12" s="9"/>
      <c r="J12" s="18"/>
      <c r="K12" s="9"/>
      <c r="L12" s="18"/>
      <c r="M12" s="9"/>
      <c r="N12" s="18"/>
      <c r="O12" s="9"/>
      <c r="P12" s="18"/>
      <c r="Q12" s="9"/>
      <c r="R12" s="18"/>
    </row>
    <row r="14" spans="1:18" x14ac:dyDescent="0.25">
      <c r="C14" s="36" t="s">
        <v>75</v>
      </c>
      <c r="D14" s="36"/>
      <c r="E14" s="36"/>
      <c r="F14" s="36"/>
      <c r="G14" s="36"/>
      <c r="H14" s="36"/>
      <c r="I14" s="36"/>
    </row>
    <row r="16" spans="1:18" x14ac:dyDescent="0.25">
      <c r="B16" s="23" t="s">
        <v>86</v>
      </c>
    </row>
    <row r="17" spans="2:2" x14ac:dyDescent="0.25">
      <c r="B17" t="s">
        <v>78</v>
      </c>
    </row>
    <row r="18" spans="2:2" x14ac:dyDescent="0.25">
      <c r="B18" t="s">
        <v>79</v>
      </c>
    </row>
  </sheetData>
  <mergeCells count="1">
    <mergeCell ref="C14:I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361A-D3F8-457D-B4CC-344F9888A6EC}">
  <dimension ref="A1"/>
  <sheetViews>
    <sheetView workbookViewId="0">
      <selection activeCell="J17" sqref="J17"/>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6F84D-B9EC-4275-8205-3BA2905B26E3}">
  <dimension ref="A1:R39"/>
  <sheetViews>
    <sheetView topLeftCell="A12" workbookViewId="0">
      <selection activeCell="M2" sqref="M2"/>
    </sheetView>
  </sheetViews>
  <sheetFormatPr defaultRowHeight="15" x14ac:dyDescent="0.25"/>
  <cols>
    <col min="2" max="2" width="6.5703125" bestFit="1" customWidth="1"/>
    <col min="3" max="3" width="5" bestFit="1" customWidth="1"/>
    <col min="4" max="4" width="6.85546875" bestFit="1" customWidth="1"/>
    <col min="5" max="5" width="10.140625" bestFit="1" customWidth="1"/>
    <col min="6" max="6" width="10.5703125" bestFit="1" customWidth="1"/>
    <col min="7" max="7" width="9.140625" bestFit="1" customWidth="1"/>
    <col min="8" max="8" width="14" customWidth="1"/>
    <col min="9" max="9" width="13.140625" bestFit="1" customWidth="1"/>
    <col min="10" max="10" width="10.5703125" bestFit="1" customWidth="1"/>
    <col min="11" max="11" width="6.85546875" bestFit="1" customWidth="1"/>
    <col min="12" max="12" width="10.5703125" bestFit="1" customWidth="1"/>
    <col min="13" max="13" width="14.85546875" bestFit="1" customWidth="1"/>
    <col min="14" max="14" width="17.42578125" customWidth="1"/>
    <col min="15" max="15" width="9.7109375" bestFit="1" customWidth="1"/>
    <col min="16" max="16" width="10.5703125" bestFit="1" customWidth="1"/>
    <col min="17" max="17" width="8.140625" bestFit="1" customWidth="1"/>
    <col min="18" max="18" width="10.5703125" bestFit="1" customWidth="1"/>
  </cols>
  <sheetData>
    <row r="1" spans="1:16" x14ac:dyDescent="0.25">
      <c r="A1" s="1" t="s">
        <v>50</v>
      </c>
    </row>
    <row r="2" spans="1:16" x14ac:dyDescent="0.25">
      <c r="A2" s="2" t="s">
        <v>51</v>
      </c>
    </row>
    <row r="3" spans="1:16" x14ac:dyDescent="0.25">
      <c r="A3" s="2" t="s">
        <v>52</v>
      </c>
    </row>
    <row r="5" spans="1:16" ht="45" x14ac:dyDescent="0.25">
      <c r="B5" s="11" t="s">
        <v>0</v>
      </c>
      <c r="C5" s="11" t="s">
        <v>1</v>
      </c>
      <c r="D5" s="11" t="s">
        <v>2</v>
      </c>
      <c r="E5" s="13" t="s">
        <v>15</v>
      </c>
      <c r="F5" s="13" t="s">
        <v>67</v>
      </c>
      <c r="G5" s="13" t="s">
        <v>19</v>
      </c>
      <c r="H5" s="16" t="s">
        <v>68</v>
      </c>
      <c r="I5" s="11" t="s">
        <v>21</v>
      </c>
      <c r="J5" s="13" t="s">
        <v>69</v>
      </c>
      <c r="K5" s="11" t="s">
        <v>23</v>
      </c>
      <c r="L5" s="13" t="s">
        <v>70</v>
      </c>
      <c r="M5" s="13" t="s">
        <v>24</v>
      </c>
      <c r="N5" s="13" t="s">
        <v>71</v>
      </c>
      <c r="O5" s="11" t="s">
        <v>26</v>
      </c>
      <c r="P5" s="13" t="s">
        <v>72</v>
      </c>
    </row>
    <row r="6" spans="1:16" x14ac:dyDescent="0.25">
      <c r="B6" s="11" t="s">
        <v>30</v>
      </c>
      <c r="C6" s="11">
        <v>2013</v>
      </c>
      <c r="D6" s="11" t="s">
        <v>37</v>
      </c>
      <c r="E6" s="11">
        <v>107.1</v>
      </c>
      <c r="F6" s="11"/>
      <c r="G6" s="11">
        <v>108</v>
      </c>
      <c r="H6" s="12"/>
      <c r="I6" s="11">
        <v>106.5</v>
      </c>
      <c r="J6" s="11"/>
      <c r="K6" s="11">
        <v>105.1</v>
      </c>
      <c r="L6" s="11"/>
      <c r="M6" s="11">
        <v>104.4</v>
      </c>
      <c r="N6" s="11"/>
      <c r="O6" s="11">
        <v>104.8</v>
      </c>
      <c r="P6" s="11"/>
    </row>
    <row r="7" spans="1:16" x14ac:dyDescent="0.25">
      <c r="B7" s="11" t="s">
        <v>30</v>
      </c>
      <c r="C7" s="11">
        <v>2014</v>
      </c>
      <c r="D7" s="11" t="s">
        <v>37</v>
      </c>
      <c r="E7" s="11">
        <v>117.2</v>
      </c>
      <c r="F7" s="12">
        <f>(E7-E6)/E6</f>
        <v>9.4304388422035562E-2</v>
      </c>
      <c r="G7" s="11">
        <v>117.8</v>
      </c>
      <c r="H7" s="12">
        <f>(G7-G6)/G6</f>
        <v>9.0740740740740719E-2</v>
      </c>
      <c r="I7" s="11">
        <v>113.4</v>
      </c>
      <c r="J7" s="12">
        <f>(I7-I6)/I6</f>
        <v>6.478873239436625E-2</v>
      </c>
      <c r="K7" s="11">
        <v>111.8</v>
      </c>
      <c r="L7" s="12">
        <f>(K7-K6)/K6</f>
        <v>6.3748810656517635E-2</v>
      </c>
      <c r="M7" s="11">
        <v>111.2</v>
      </c>
      <c r="N7" s="12">
        <f>(M7-M6)/M6</f>
        <v>6.5134099616858204E-2</v>
      </c>
      <c r="O7" s="11">
        <v>113</v>
      </c>
      <c r="P7" s="12">
        <f>(O7-O6)/O6</f>
        <v>7.8244274809160339E-2</v>
      </c>
    </row>
    <row r="8" spans="1:16" x14ac:dyDescent="0.25">
      <c r="B8" s="11" t="s">
        <v>30</v>
      </c>
      <c r="C8" s="11">
        <v>2015</v>
      </c>
      <c r="D8" s="11" t="s">
        <v>37</v>
      </c>
      <c r="E8" s="11">
        <v>123.6</v>
      </c>
      <c r="F8" s="12">
        <f t="shared" ref="F8:F15" si="0">(E8-E7)/E7</f>
        <v>5.4607508532423132E-2</v>
      </c>
      <c r="G8" s="11">
        <v>126</v>
      </c>
      <c r="H8" s="12">
        <f t="shared" ref="H8:H15" si="1">(G8-G7)/G7</f>
        <v>6.9609507640067944E-2</v>
      </c>
      <c r="I8" s="11">
        <v>121.2</v>
      </c>
      <c r="J8" s="12">
        <f t="shared" ref="J8:J15" si="2">(I8-I7)/I7</f>
        <v>6.8783068783068751E-2</v>
      </c>
      <c r="K8" s="11">
        <v>118.6</v>
      </c>
      <c r="L8" s="12">
        <f t="shared" ref="L8:L15" si="3">(K8-K7)/K7</f>
        <v>6.0822898032200333E-2</v>
      </c>
      <c r="M8" s="11">
        <v>111.9</v>
      </c>
      <c r="N8" s="12">
        <f t="shared" ref="N8:N15" si="4">(M8-M7)/M7</f>
        <v>6.2949640287770035E-3</v>
      </c>
      <c r="O8" s="11">
        <v>119.9</v>
      </c>
      <c r="P8" s="12">
        <f t="shared" ref="P8:P15" si="5">(O8-O7)/O7</f>
        <v>6.1061946902654915E-2</v>
      </c>
    </row>
    <row r="9" spans="1:16" x14ac:dyDescent="0.25">
      <c r="B9" s="11" t="s">
        <v>30</v>
      </c>
      <c r="C9" s="11">
        <v>2016</v>
      </c>
      <c r="D9" s="11" t="s">
        <v>37</v>
      </c>
      <c r="E9" s="11">
        <v>131.80000000000001</v>
      </c>
      <c r="F9" s="12">
        <f t="shared" si="0"/>
        <v>6.6343042071197553E-2</v>
      </c>
      <c r="G9" s="11">
        <v>134.4</v>
      </c>
      <c r="H9" s="12">
        <f t="shared" si="1"/>
        <v>6.6666666666666707E-2</v>
      </c>
      <c r="I9" s="11">
        <v>127</v>
      </c>
      <c r="J9" s="12">
        <f t="shared" si="2"/>
        <v>4.785478547854783E-2</v>
      </c>
      <c r="K9" s="11">
        <v>125.2</v>
      </c>
      <c r="L9" s="12">
        <f t="shared" si="3"/>
        <v>5.5649241146711707E-2</v>
      </c>
      <c r="M9" s="11">
        <v>114.4</v>
      </c>
      <c r="N9" s="12">
        <f t="shared" si="4"/>
        <v>2.2341376228775692E-2</v>
      </c>
      <c r="O9" s="11">
        <v>127.9</v>
      </c>
      <c r="P9" s="12">
        <f t="shared" si="5"/>
        <v>6.672226855713094E-2</v>
      </c>
    </row>
    <row r="10" spans="1:16" x14ac:dyDescent="0.25">
      <c r="B10" s="11" t="s">
        <v>30</v>
      </c>
      <c r="C10" s="11">
        <v>2017</v>
      </c>
      <c r="D10" s="11" t="s">
        <v>37</v>
      </c>
      <c r="E10" s="11">
        <v>133.5</v>
      </c>
      <c r="F10" s="12">
        <f t="shared" si="0"/>
        <v>1.2898330804248775E-2</v>
      </c>
      <c r="G10" s="11">
        <v>141.6</v>
      </c>
      <c r="H10" s="12">
        <f t="shared" si="1"/>
        <v>5.3571428571428485E-2</v>
      </c>
      <c r="I10" s="11">
        <v>135</v>
      </c>
      <c r="J10" s="12">
        <f t="shared" si="2"/>
        <v>6.2992125984251968E-2</v>
      </c>
      <c r="K10" s="11">
        <v>131</v>
      </c>
      <c r="L10" s="12">
        <f t="shared" si="3"/>
        <v>4.6325878594249179E-2</v>
      </c>
      <c r="M10" s="11">
        <v>119.2</v>
      </c>
      <c r="N10" s="12">
        <f t="shared" si="4"/>
        <v>4.1958041958041932E-2</v>
      </c>
      <c r="O10" s="11">
        <v>135.69999999999999</v>
      </c>
      <c r="P10" s="12">
        <f t="shared" si="5"/>
        <v>6.0985144644253184E-2</v>
      </c>
    </row>
    <row r="11" spans="1:16" x14ac:dyDescent="0.25">
      <c r="B11" s="11" t="s">
        <v>30</v>
      </c>
      <c r="C11" s="11">
        <v>2018</v>
      </c>
      <c r="D11" s="11" t="s">
        <v>37</v>
      </c>
      <c r="E11" s="11">
        <v>138.6</v>
      </c>
      <c r="F11" s="12">
        <f t="shared" si="0"/>
        <v>3.8202247191011195E-2</v>
      </c>
      <c r="G11" s="11">
        <v>149.1</v>
      </c>
      <c r="H11" s="12">
        <f t="shared" si="1"/>
        <v>5.2966101694915259E-2</v>
      </c>
      <c r="I11" s="11">
        <v>143.80000000000001</v>
      </c>
      <c r="J11" s="12">
        <f t="shared" si="2"/>
        <v>6.5185185185185263E-2</v>
      </c>
      <c r="K11" s="11">
        <v>137.6</v>
      </c>
      <c r="L11" s="12">
        <f t="shared" si="3"/>
        <v>5.0381679389312935E-2</v>
      </c>
      <c r="M11" s="11">
        <v>125.3</v>
      </c>
      <c r="N11" s="12">
        <f t="shared" si="4"/>
        <v>5.1174496644295256E-2</v>
      </c>
      <c r="O11" s="11">
        <v>143.69999999999999</v>
      </c>
      <c r="P11" s="12">
        <f t="shared" si="5"/>
        <v>5.8953574060427422E-2</v>
      </c>
    </row>
    <row r="12" spans="1:16" x14ac:dyDescent="0.25">
      <c r="B12" s="11" t="s">
        <v>30</v>
      </c>
      <c r="C12" s="11">
        <v>2020</v>
      </c>
      <c r="D12" s="11" t="s">
        <v>37</v>
      </c>
      <c r="E12" s="11">
        <v>150.1</v>
      </c>
      <c r="F12" s="12">
        <f t="shared" si="0"/>
        <v>8.2972582972582976E-2</v>
      </c>
      <c r="G12" s="11" t="s">
        <v>32</v>
      </c>
      <c r="H12" s="12" t="e">
        <f t="shared" si="1"/>
        <v>#VALUE!</v>
      </c>
      <c r="I12" s="11">
        <v>148.4</v>
      </c>
      <c r="J12" s="12">
        <f t="shared" si="2"/>
        <v>3.1988873435326803E-2</v>
      </c>
      <c r="K12" s="11">
        <v>154.30000000000001</v>
      </c>
      <c r="L12" s="12">
        <f t="shared" si="3"/>
        <v>0.12136627906976757</v>
      </c>
      <c r="M12" s="11" t="s">
        <v>32</v>
      </c>
      <c r="N12" s="12" t="e">
        <f t="shared" si="4"/>
        <v>#VALUE!</v>
      </c>
      <c r="O12" s="11" t="s">
        <v>32</v>
      </c>
      <c r="P12" s="12" t="e">
        <f t="shared" si="5"/>
        <v>#VALUE!</v>
      </c>
    </row>
    <row r="13" spans="1:16" x14ac:dyDescent="0.25">
      <c r="B13" s="11" t="s">
        <v>30</v>
      </c>
      <c r="C13" s="11">
        <v>2021</v>
      </c>
      <c r="D13" s="11" t="s">
        <v>37</v>
      </c>
      <c r="E13" s="11">
        <v>155.6</v>
      </c>
      <c r="F13" s="12">
        <f t="shared" si="0"/>
        <v>3.6642238507661559E-2</v>
      </c>
      <c r="G13" s="11">
        <v>159.9</v>
      </c>
      <c r="H13" s="12" t="e">
        <f t="shared" si="1"/>
        <v>#VALUE!</v>
      </c>
      <c r="I13" s="11">
        <v>156</v>
      </c>
      <c r="J13" s="12">
        <f t="shared" si="2"/>
        <v>5.1212938005390798E-2</v>
      </c>
      <c r="K13" s="11">
        <v>165.3</v>
      </c>
      <c r="L13" s="12">
        <f t="shared" si="3"/>
        <v>7.1289695398574202E-2</v>
      </c>
      <c r="M13" s="11">
        <v>151.69999999999999</v>
      </c>
      <c r="N13" s="12" t="e">
        <f t="shared" si="4"/>
        <v>#VALUE!</v>
      </c>
      <c r="O13" s="11">
        <v>164.1</v>
      </c>
      <c r="P13" s="12" t="e">
        <f t="shared" si="5"/>
        <v>#VALUE!</v>
      </c>
    </row>
    <row r="14" spans="1:16" x14ac:dyDescent="0.25">
      <c r="B14" s="11" t="s">
        <v>30</v>
      </c>
      <c r="C14" s="11">
        <v>2022</v>
      </c>
      <c r="D14" s="11" t="s">
        <v>37</v>
      </c>
      <c r="E14" s="11">
        <v>168.6</v>
      </c>
      <c r="F14" s="12">
        <f t="shared" si="0"/>
        <v>8.3547557840616973E-2</v>
      </c>
      <c r="G14" s="11">
        <v>177.1</v>
      </c>
      <c r="H14" s="12">
        <f t="shared" si="1"/>
        <v>0.10756722951844895</v>
      </c>
      <c r="I14" s="11">
        <v>173.3</v>
      </c>
      <c r="J14" s="12">
        <f t="shared" si="2"/>
        <v>0.11089743589743598</v>
      </c>
      <c r="K14" s="11">
        <v>177</v>
      </c>
      <c r="L14" s="12">
        <f t="shared" si="3"/>
        <v>7.0780399274047112E-2</v>
      </c>
      <c r="M14" s="11">
        <v>166.2</v>
      </c>
      <c r="N14" s="12">
        <f t="shared" si="4"/>
        <v>9.55833882663151E-2</v>
      </c>
      <c r="O14" s="11">
        <v>170.9</v>
      </c>
      <c r="P14" s="12">
        <f t="shared" si="5"/>
        <v>4.1438147471054308E-2</v>
      </c>
    </row>
    <row r="15" spans="1:16" x14ac:dyDescent="0.25">
      <c r="B15" s="11" t="s">
        <v>30</v>
      </c>
      <c r="C15" s="11">
        <v>2023</v>
      </c>
      <c r="D15" s="11" t="s">
        <v>37</v>
      </c>
      <c r="E15" s="11">
        <v>175.5</v>
      </c>
      <c r="F15" s="12">
        <f t="shared" si="0"/>
        <v>4.0925266903914626E-2</v>
      </c>
      <c r="G15" s="11">
        <v>190.2</v>
      </c>
      <c r="H15" s="12">
        <f t="shared" si="1"/>
        <v>7.3969508752117413E-2</v>
      </c>
      <c r="I15" s="11">
        <v>181.5</v>
      </c>
      <c r="J15" s="12">
        <f t="shared" si="2"/>
        <v>4.7316791690709681E-2</v>
      </c>
      <c r="K15" s="11">
        <v>187.2</v>
      </c>
      <c r="L15" s="12">
        <f t="shared" si="3"/>
        <v>5.7627118644067735E-2</v>
      </c>
      <c r="M15" s="11">
        <v>169.4</v>
      </c>
      <c r="N15" s="12">
        <f t="shared" si="4"/>
        <v>1.9253910950661958E-2</v>
      </c>
      <c r="O15" s="11">
        <v>179.4</v>
      </c>
      <c r="P15" s="12">
        <f t="shared" si="5"/>
        <v>4.9736688121708603E-2</v>
      </c>
    </row>
    <row r="17" spans="2:18" ht="45" x14ac:dyDescent="0.25">
      <c r="B17" s="5" t="s">
        <v>0</v>
      </c>
      <c r="C17" s="5" t="s">
        <v>1</v>
      </c>
      <c r="D17" s="5" t="s">
        <v>2</v>
      </c>
      <c r="E17" s="13" t="s">
        <v>15</v>
      </c>
      <c r="F17" s="11" t="s">
        <v>66</v>
      </c>
      <c r="G17" s="13" t="s">
        <v>19</v>
      </c>
      <c r="H17" s="11" t="s">
        <v>66</v>
      </c>
      <c r="I17" s="11" t="s">
        <v>21</v>
      </c>
      <c r="J17" s="11" t="s">
        <v>66</v>
      </c>
      <c r="K17" s="11" t="s">
        <v>23</v>
      </c>
      <c r="L17" s="11" t="s">
        <v>66</v>
      </c>
      <c r="M17" s="13" t="s">
        <v>24</v>
      </c>
      <c r="N17" s="11" t="s">
        <v>66</v>
      </c>
      <c r="O17" s="11" t="s">
        <v>26</v>
      </c>
      <c r="P17" s="11" t="s">
        <v>66</v>
      </c>
      <c r="Q17" s="5" t="s">
        <v>20</v>
      </c>
      <c r="R17" s="11" t="s">
        <v>66</v>
      </c>
    </row>
    <row r="18" spans="2:18" x14ac:dyDescent="0.25">
      <c r="B18" s="5" t="s">
        <v>34</v>
      </c>
      <c r="C18" s="5">
        <v>2013</v>
      </c>
      <c r="D18" s="5" t="s">
        <v>37</v>
      </c>
      <c r="E18" s="5">
        <v>107.7</v>
      </c>
      <c r="F18" s="5"/>
      <c r="G18" s="5">
        <v>107.9</v>
      </c>
      <c r="H18" s="5"/>
      <c r="I18" s="5">
        <v>106.5</v>
      </c>
      <c r="J18" s="5"/>
      <c r="K18" s="5">
        <v>105.3</v>
      </c>
      <c r="L18" s="5"/>
      <c r="M18" s="5">
        <v>104.7</v>
      </c>
      <c r="N18" s="5"/>
      <c r="O18" s="5">
        <v>105</v>
      </c>
      <c r="P18" s="5"/>
      <c r="Q18" s="5">
        <v>100.5</v>
      </c>
      <c r="R18" s="5"/>
    </row>
    <row r="19" spans="2:18" x14ac:dyDescent="0.25">
      <c r="B19" s="5" t="s">
        <v>34</v>
      </c>
      <c r="C19" s="5">
        <v>2014</v>
      </c>
      <c r="D19" s="5" t="s">
        <v>37</v>
      </c>
      <c r="E19" s="5">
        <v>117.6</v>
      </c>
      <c r="F19" s="10">
        <f>(E19-E18)/E18</f>
        <v>9.1922005571030557E-2</v>
      </c>
      <c r="G19" s="5">
        <v>117</v>
      </c>
      <c r="H19" s="10">
        <f>(G19-G18)/G18</f>
        <v>8.43373493975903E-2</v>
      </c>
      <c r="I19" s="5">
        <v>112.5</v>
      </c>
      <c r="J19" s="10">
        <f>(I19-I18)/I18</f>
        <v>5.6338028169014086E-2</v>
      </c>
      <c r="K19" s="5">
        <v>111.5</v>
      </c>
      <c r="L19" s="10">
        <f>(K19-K18)/K18</f>
        <v>5.8879392212725576E-2</v>
      </c>
      <c r="M19" s="5">
        <v>111.2</v>
      </c>
      <c r="N19" s="10">
        <f>(M19-M18)/M18</f>
        <v>6.2082139446036293E-2</v>
      </c>
      <c r="O19" s="5">
        <v>112.7</v>
      </c>
      <c r="P19" s="10">
        <f>(O19-O18)/O18</f>
        <v>7.3333333333333361E-2</v>
      </c>
      <c r="Q19" s="5">
        <v>113.9</v>
      </c>
      <c r="R19" s="10">
        <f>(Q19-Q18)/Q18</f>
        <v>0.13333333333333339</v>
      </c>
    </row>
    <row r="20" spans="2:18" x14ac:dyDescent="0.25">
      <c r="B20" s="5" t="s">
        <v>34</v>
      </c>
      <c r="C20" s="5">
        <v>2015</v>
      </c>
      <c r="D20" s="5" t="s">
        <v>37</v>
      </c>
      <c r="E20" s="5">
        <v>124</v>
      </c>
      <c r="F20" s="10">
        <f t="shared" ref="F20:F27" si="6">(E20-E19)/E19</f>
        <v>5.4421768707483047E-2</v>
      </c>
      <c r="G20" s="5">
        <v>124.1</v>
      </c>
      <c r="H20" s="10">
        <f t="shared" ref="H20:H27" si="7">(G20-G19)/G19</f>
        <v>6.0683760683760635E-2</v>
      </c>
      <c r="I20" s="5">
        <v>118.7</v>
      </c>
      <c r="J20" s="10">
        <f t="shared" ref="J20:J27" si="8">(I20-I19)/I19</f>
        <v>5.5111111111111138E-2</v>
      </c>
      <c r="K20" s="5">
        <v>117.1</v>
      </c>
      <c r="L20" s="10">
        <f t="shared" ref="L20:L27" si="9">(K20-K19)/K19</f>
        <v>5.0224215246636721E-2</v>
      </c>
      <c r="M20" s="5">
        <v>110.1</v>
      </c>
      <c r="N20" s="10">
        <f t="shared" ref="N20:N27" si="10">(M20-M19)/M19</f>
        <v>-9.8920863309353291E-3</v>
      </c>
      <c r="O20" s="5">
        <v>121</v>
      </c>
      <c r="P20" s="10">
        <f t="shared" ref="P20:P27" si="11">(O20-O19)/O19</f>
        <v>7.3646850044365539E-2</v>
      </c>
      <c r="Q20" s="5">
        <v>119.2</v>
      </c>
      <c r="R20" s="10">
        <f t="shared" ref="R20:R27" si="12">(Q20-Q19)/Q19</f>
        <v>4.6532045654082504E-2</v>
      </c>
    </row>
    <row r="21" spans="2:18" x14ac:dyDescent="0.25">
      <c r="B21" s="5" t="s">
        <v>34</v>
      </c>
      <c r="C21" s="5">
        <v>2016</v>
      </c>
      <c r="D21" s="5" t="s">
        <v>37</v>
      </c>
      <c r="E21" s="5">
        <v>131.80000000000001</v>
      </c>
      <c r="F21" s="10">
        <f t="shared" si="6"/>
        <v>6.2903225806451704E-2</v>
      </c>
      <c r="G21" s="5">
        <v>131</v>
      </c>
      <c r="H21" s="10">
        <f t="shared" si="7"/>
        <v>5.5600322320709154E-2</v>
      </c>
      <c r="I21" s="5">
        <v>122.3</v>
      </c>
      <c r="J21" s="10">
        <f t="shared" si="8"/>
        <v>3.0328559393428763E-2</v>
      </c>
      <c r="K21" s="5">
        <v>123.2</v>
      </c>
      <c r="L21" s="10">
        <f t="shared" si="9"/>
        <v>5.2092228864218694E-2</v>
      </c>
      <c r="M21" s="5">
        <v>112.1</v>
      </c>
      <c r="N21" s="10">
        <f t="shared" si="10"/>
        <v>1.8165304268846504E-2</v>
      </c>
      <c r="O21" s="5">
        <v>127.7</v>
      </c>
      <c r="P21" s="10">
        <f t="shared" si="11"/>
        <v>5.5371900826446302E-2</v>
      </c>
      <c r="Q21" s="5">
        <v>125.6</v>
      </c>
      <c r="R21" s="10">
        <f t="shared" si="12"/>
        <v>5.3691275167785164E-2</v>
      </c>
    </row>
    <row r="22" spans="2:18" x14ac:dyDescent="0.25">
      <c r="B22" s="5" t="s">
        <v>34</v>
      </c>
      <c r="C22" s="5">
        <v>2017</v>
      </c>
      <c r="D22" s="5" t="s">
        <v>37</v>
      </c>
      <c r="E22" s="5">
        <v>133.5</v>
      </c>
      <c r="F22" s="10">
        <f t="shared" si="6"/>
        <v>1.2898330804248775E-2</v>
      </c>
      <c r="G22" s="5">
        <v>137</v>
      </c>
      <c r="H22" s="10">
        <f t="shared" si="7"/>
        <v>4.5801526717557252E-2</v>
      </c>
      <c r="I22" s="5">
        <v>129.80000000000001</v>
      </c>
      <c r="J22" s="10">
        <f t="shared" si="8"/>
        <v>6.132461161079325E-2</v>
      </c>
      <c r="K22" s="5">
        <v>128.1</v>
      </c>
      <c r="L22" s="10">
        <f t="shared" si="9"/>
        <v>3.9772727272727203E-2</v>
      </c>
      <c r="M22" s="5">
        <v>116.6</v>
      </c>
      <c r="N22" s="10">
        <f t="shared" si="10"/>
        <v>4.0142729705619981E-2</v>
      </c>
      <c r="O22" s="5">
        <v>134.5</v>
      </c>
      <c r="P22" s="10">
        <f t="shared" si="11"/>
        <v>5.3249804228660901E-2</v>
      </c>
      <c r="Q22" s="5">
        <v>131.69999999999999</v>
      </c>
      <c r="R22" s="10">
        <f t="shared" si="12"/>
        <v>4.8566878980891674E-2</v>
      </c>
    </row>
    <row r="23" spans="2:18" x14ac:dyDescent="0.25">
      <c r="B23" s="5" t="s">
        <v>34</v>
      </c>
      <c r="C23" s="5">
        <v>2018</v>
      </c>
      <c r="D23" s="5" t="s">
        <v>37</v>
      </c>
      <c r="E23" s="5">
        <v>137.5</v>
      </c>
      <c r="F23" s="10">
        <f t="shared" si="6"/>
        <v>2.9962546816479401E-2</v>
      </c>
      <c r="G23" s="5">
        <v>144</v>
      </c>
      <c r="H23" s="10">
        <f t="shared" si="7"/>
        <v>5.1094890510948905E-2</v>
      </c>
      <c r="I23" s="5">
        <v>136.5</v>
      </c>
      <c r="J23" s="10">
        <f t="shared" si="8"/>
        <v>5.1617873651771867E-2</v>
      </c>
      <c r="K23" s="5">
        <v>135.19999999999999</v>
      </c>
      <c r="L23" s="10">
        <f t="shared" si="9"/>
        <v>5.5425448868071776E-2</v>
      </c>
      <c r="M23" s="5">
        <v>121.9</v>
      </c>
      <c r="N23" s="10">
        <f t="shared" si="10"/>
        <v>4.5454545454545553E-2</v>
      </c>
      <c r="O23" s="5">
        <v>141.4</v>
      </c>
      <c r="P23" s="10">
        <f t="shared" si="11"/>
        <v>5.1301115241635727E-2</v>
      </c>
      <c r="Q23" s="5">
        <v>142.9</v>
      </c>
      <c r="R23" s="10">
        <f t="shared" si="12"/>
        <v>8.5041761579347133E-2</v>
      </c>
    </row>
    <row r="24" spans="2:18" x14ac:dyDescent="0.25">
      <c r="B24" s="5" t="s">
        <v>34</v>
      </c>
      <c r="C24" s="5">
        <v>2020</v>
      </c>
      <c r="D24" s="5" t="s">
        <v>37</v>
      </c>
      <c r="E24" s="5">
        <v>151.4</v>
      </c>
      <c r="F24" s="10">
        <f t="shared" si="6"/>
        <v>0.10109090909090913</v>
      </c>
      <c r="G24" s="5" t="s">
        <v>32</v>
      </c>
      <c r="H24" s="10" t="e">
        <f t="shared" si="7"/>
        <v>#VALUE!</v>
      </c>
      <c r="I24" s="5">
        <v>144.1</v>
      </c>
      <c r="J24" s="10">
        <f t="shared" si="8"/>
        <v>5.5677655677655639E-2</v>
      </c>
      <c r="K24" s="5">
        <v>150.69999999999999</v>
      </c>
      <c r="L24" s="10">
        <f t="shared" si="9"/>
        <v>0.1146449704142012</v>
      </c>
      <c r="M24" s="5" t="s">
        <v>32</v>
      </c>
      <c r="N24" s="10" t="e">
        <f t="shared" si="10"/>
        <v>#VALUE!</v>
      </c>
      <c r="O24" s="5" t="s">
        <v>32</v>
      </c>
      <c r="P24" s="10" t="e">
        <f t="shared" si="11"/>
        <v>#VALUE!</v>
      </c>
      <c r="Q24" s="5">
        <v>155.6</v>
      </c>
      <c r="R24" s="10">
        <f t="shared" si="12"/>
        <v>8.8873337998600338E-2</v>
      </c>
    </row>
    <row r="25" spans="2:18" x14ac:dyDescent="0.25">
      <c r="B25" s="5" t="s">
        <v>34</v>
      </c>
      <c r="C25" s="5">
        <v>2021</v>
      </c>
      <c r="D25" s="5" t="s">
        <v>37</v>
      </c>
      <c r="E25" s="5">
        <v>158</v>
      </c>
      <c r="F25" s="10">
        <f t="shared" si="6"/>
        <v>4.3593130779392301E-2</v>
      </c>
      <c r="G25" s="5">
        <v>157.30000000000001</v>
      </c>
      <c r="H25" s="10" t="e">
        <f t="shared" si="7"/>
        <v>#VALUE!</v>
      </c>
      <c r="I25" s="5">
        <v>155.6</v>
      </c>
      <c r="J25" s="10">
        <f t="shared" si="8"/>
        <v>7.9805690492713396E-2</v>
      </c>
      <c r="K25" s="5">
        <v>162.30000000000001</v>
      </c>
      <c r="L25" s="10">
        <f t="shared" si="9"/>
        <v>7.6974120769741361E-2</v>
      </c>
      <c r="M25" s="5">
        <v>146.6</v>
      </c>
      <c r="N25" s="10" t="e">
        <f t="shared" si="10"/>
        <v>#VALUE!</v>
      </c>
      <c r="O25" s="5">
        <v>160.30000000000001</v>
      </c>
      <c r="P25" s="10" t="e">
        <f t="shared" si="11"/>
        <v>#VALUE!</v>
      </c>
      <c r="Q25" s="5">
        <v>161.4</v>
      </c>
      <c r="R25" s="10">
        <f t="shared" si="12"/>
        <v>3.7275064267352262E-2</v>
      </c>
    </row>
    <row r="26" spans="2:18" x14ac:dyDescent="0.25">
      <c r="B26" s="5" t="s">
        <v>34</v>
      </c>
      <c r="C26" s="5">
        <v>2022</v>
      </c>
      <c r="D26" s="5" t="s">
        <v>37</v>
      </c>
      <c r="E26" s="5">
        <v>170.8</v>
      </c>
      <c r="F26" s="10">
        <f t="shared" si="6"/>
        <v>8.1012658227848172E-2</v>
      </c>
      <c r="G26" s="5">
        <v>172.8</v>
      </c>
      <c r="H26" s="10">
        <f t="shared" si="7"/>
        <v>9.8537825810553079E-2</v>
      </c>
      <c r="I26" s="5">
        <v>172.2</v>
      </c>
      <c r="J26" s="10">
        <f t="shared" si="8"/>
        <v>0.10668380462724933</v>
      </c>
      <c r="K26" s="5">
        <v>174</v>
      </c>
      <c r="L26" s="10">
        <f t="shared" si="9"/>
        <v>7.2088724584103439E-2</v>
      </c>
      <c r="M26" s="5">
        <v>162.6</v>
      </c>
      <c r="N26" s="10">
        <f t="shared" si="10"/>
        <v>0.10914051841746249</v>
      </c>
      <c r="O26" s="5">
        <v>166.9</v>
      </c>
      <c r="P26" s="10">
        <f t="shared" si="11"/>
        <v>4.1172800998128471E-2</v>
      </c>
      <c r="Q26" s="5">
        <v>167</v>
      </c>
      <c r="R26" s="10">
        <f t="shared" si="12"/>
        <v>3.4696406443618301E-2</v>
      </c>
    </row>
    <row r="27" spans="2:18" x14ac:dyDescent="0.25">
      <c r="B27" s="5" t="s">
        <v>34</v>
      </c>
      <c r="C27" s="5">
        <v>2023</v>
      </c>
      <c r="D27" s="5" t="s">
        <v>37</v>
      </c>
      <c r="E27" s="5">
        <v>177.9</v>
      </c>
      <c r="F27" s="10">
        <f t="shared" si="6"/>
        <v>4.1569086651053827E-2</v>
      </c>
      <c r="G27" s="5">
        <v>185.7</v>
      </c>
      <c r="H27" s="10">
        <f t="shared" si="7"/>
        <v>7.4652777777777637E-2</v>
      </c>
      <c r="I27" s="5">
        <v>181.7</v>
      </c>
      <c r="J27" s="10">
        <f t="shared" si="8"/>
        <v>5.5168408826945417E-2</v>
      </c>
      <c r="K27" s="5">
        <v>185</v>
      </c>
      <c r="L27" s="10">
        <f t="shared" si="9"/>
        <v>6.3218390804597707E-2</v>
      </c>
      <c r="M27" s="5">
        <v>164.5</v>
      </c>
      <c r="N27" s="10">
        <f t="shared" si="10"/>
        <v>1.1685116851168548E-2</v>
      </c>
      <c r="O27" s="5">
        <v>176.4</v>
      </c>
      <c r="P27" s="10">
        <f t="shared" si="11"/>
        <v>5.6920311563810666E-2</v>
      </c>
      <c r="Q27" s="5">
        <v>175.2</v>
      </c>
      <c r="R27" s="10">
        <f t="shared" si="12"/>
        <v>4.9101796407185559E-2</v>
      </c>
    </row>
    <row r="29" spans="2:18" ht="45" x14ac:dyDescent="0.25">
      <c r="B29" s="14" t="s">
        <v>0</v>
      </c>
      <c r="C29" s="14" t="s">
        <v>1</v>
      </c>
      <c r="D29" s="14" t="s">
        <v>2</v>
      </c>
      <c r="E29" s="13" t="s">
        <v>15</v>
      </c>
      <c r="F29" s="11" t="s">
        <v>66</v>
      </c>
      <c r="G29" s="13" t="s">
        <v>19</v>
      </c>
      <c r="H29" s="11" t="s">
        <v>66</v>
      </c>
      <c r="I29" s="11" t="s">
        <v>21</v>
      </c>
      <c r="J29" s="11" t="s">
        <v>66</v>
      </c>
      <c r="K29" s="11" t="s">
        <v>23</v>
      </c>
      <c r="L29" s="11" t="s">
        <v>66</v>
      </c>
      <c r="M29" s="13" t="s">
        <v>24</v>
      </c>
      <c r="N29" s="11" t="s">
        <v>66</v>
      </c>
      <c r="O29" s="11" t="s">
        <v>26</v>
      </c>
      <c r="P29" s="11" t="s">
        <v>66</v>
      </c>
      <c r="Q29" s="14" t="s">
        <v>20</v>
      </c>
      <c r="R29" s="11" t="s">
        <v>66</v>
      </c>
    </row>
    <row r="30" spans="2:18" x14ac:dyDescent="0.25">
      <c r="B30" s="14" t="s">
        <v>33</v>
      </c>
      <c r="C30" s="14">
        <v>2013</v>
      </c>
      <c r="D30" s="14" t="s">
        <v>37</v>
      </c>
      <c r="E30" s="14">
        <v>108.8</v>
      </c>
      <c r="F30" s="14"/>
      <c r="G30" s="14">
        <v>107.7</v>
      </c>
      <c r="H30" s="14"/>
      <c r="I30" s="14">
        <v>106.4</v>
      </c>
      <c r="J30" s="14"/>
      <c r="K30" s="14">
        <v>105.7</v>
      </c>
      <c r="L30" s="14"/>
      <c r="M30" s="14">
        <v>105</v>
      </c>
      <c r="N30" s="14"/>
      <c r="O30" s="14">
        <v>105.2</v>
      </c>
      <c r="P30" s="14"/>
      <c r="Q30" s="14">
        <v>100.5</v>
      </c>
      <c r="R30" s="14"/>
    </row>
    <row r="31" spans="2:18" x14ac:dyDescent="0.25">
      <c r="B31" s="14" t="s">
        <v>33</v>
      </c>
      <c r="C31" s="14">
        <v>2014</v>
      </c>
      <c r="D31" s="14" t="s">
        <v>37</v>
      </c>
      <c r="E31" s="14">
        <v>118.2</v>
      </c>
      <c r="F31" s="15">
        <f>(E31-E30)/E30</f>
        <v>8.6397058823529466E-2</v>
      </c>
      <c r="G31" s="14">
        <v>115.7</v>
      </c>
      <c r="H31" s="15">
        <f>(G31-G30)/G30</f>
        <v>7.4280408542246976E-2</v>
      </c>
      <c r="I31" s="14">
        <v>110.9</v>
      </c>
      <c r="J31" s="15">
        <f>(I31-I30)/I30</f>
        <v>4.2293233082706765E-2</v>
      </c>
      <c r="K31" s="14">
        <v>111</v>
      </c>
      <c r="L31" s="15">
        <f>(K31-K30)/K30</f>
        <v>5.0141911069063357E-2</v>
      </c>
      <c r="M31" s="14">
        <v>111.2</v>
      </c>
      <c r="N31" s="15">
        <f>(M31-M30)/M30</f>
        <v>5.9047619047619078E-2</v>
      </c>
      <c r="O31" s="14">
        <v>112.5</v>
      </c>
      <c r="P31" s="15">
        <f>(O31-O30)/O30</f>
        <v>6.9391634980988562E-2</v>
      </c>
      <c r="Q31" s="14">
        <v>113.9</v>
      </c>
      <c r="R31" s="15">
        <f>(Q31-Q30)/Q30</f>
        <v>0.13333333333333339</v>
      </c>
    </row>
    <row r="32" spans="2:18" x14ac:dyDescent="0.25">
      <c r="B32" s="14" t="s">
        <v>33</v>
      </c>
      <c r="C32" s="14">
        <v>2015</v>
      </c>
      <c r="D32" s="14" t="s">
        <v>37</v>
      </c>
      <c r="E32" s="14">
        <v>124.6</v>
      </c>
      <c r="F32" s="15">
        <f t="shared" ref="F32:F39" si="13">(E32-E31)/E31</f>
        <v>5.4145516074450013E-2</v>
      </c>
      <c r="G32" s="14">
        <v>121.3</v>
      </c>
      <c r="H32" s="15">
        <f t="shared" ref="H32:H39" si="14">(G32-G31)/G31</f>
        <v>4.840103716508206E-2</v>
      </c>
      <c r="I32" s="14">
        <v>114.7</v>
      </c>
      <c r="J32" s="15">
        <f t="shared" ref="J32:J39" si="15">(I32-I31)/I31</f>
        <v>3.4265103697024318E-2</v>
      </c>
      <c r="K32" s="14">
        <v>114.6</v>
      </c>
      <c r="L32" s="15">
        <f t="shared" ref="L32:L39" si="16">(K32-K31)/K31</f>
        <v>3.2432432432432379E-2</v>
      </c>
      <c r="M32" s="14">
        <v>108.4</v>
      </c>
      <c r="N32" s="15">
        <f t="shared" ref="N32:N39" si="17">(M32-M31)/M31</f>
        <v>-2.5179856115107889E-2</v>
      </c>
      <c r="O32" s="14">
        <v>121.7</v>
      </c>
      <c r="P32" s="15">
        <f t="shared" ref="P32:P39" si="18">(O32-O31)/O31</f>
        <v>8.1777777777777796E-2</v>
      </c>
      <c r="Q32" s="14">
        <v>119.2</v>
      </c>
      <c r="R32" s="15">
        <f t="shared" ref="R32:R39" si="19">(Q32-Q31)/Q31</f>
        <v>4.6532045654082504E-2</v>
      </c>
    </row>
    <row r="33" spans="2:18" x14ac:dyDescent="0.25">
      <c r="B33" s="14" t="s">
        <v>33</v>
      </c>
      <c r="C33" s="14">
        <v>2016</v>
      </c>
      <c r="D33" s="14" t="s">
        <v>37</v>
      </c>
      <c r="E33" s="14">
        <v>131.80000000000001</v>
      </c>
      <c r="F33" s="15">
        <f t="shared" si="13"/>
        <v>5.7784911717496126E-2</v>
      </c>
      <c r="G33" s="14">
        <v>125.8</v>
      </c>
      <c r="H33" s="15">
        <f t="shared" si="14"/>
        <v>3.7098103874690848E-2</v>
      </c>
      <c r="I33" s="14">
        <v>114.6</v>
      </c>
      <c r="J33" s="15">
        <f t="shared" si="15"/>
        <v>-8.7183958151707517E-4</v>
      </c>
      <c r="K33" s="14">
        <v>120</v>
      </c>
      <c r="L33" s="15">
        <f t="shared" si="16"/>
        <v>4.7120418848167589E-2</v>
      </c>
      <c r="M33" s="14">
        <v>110</v>
      </c>
      <c r="N33" s="15">
        <f t="shared" si="17"/>
        <v>1.4760147601475962E-2</v>
      </c>
      <c r="O33" s="14">
        <v>127.6</v>
      </c>
      <c r="P33" s="15">
        <f t="shared" si="18"/>
        <v>4.8479868529170023E-2</v>
      </c>
      <c r="Q33" s="14">
        <v>125.6</v>
      </c>
      <c r="R33" s="15">
        <f t="shared" si="19"/>
        <v>5.3691275167785164E-2</v>
      </c>
    </row>
    <row r="34" spans="2:18" x14ac:dyDescent="0.25">
      <c r="B34" s="14" t="s">
        <v>33</v>
      </c>
      <c r="C34" s="14">
        <v>2017</v>
      </c>
      <c r="D34" s="14" t="s">
        <v>37</v>
      </c>
      <c r="E34" s="14">
        <v>133.4</v>
      </c>
      <c r="F34" s="15">
        <f t="shared" si="13"/>
        <v>1.2139605462822414E-2</v>
      </c>
      <c r="G34" s="14">
        <v>130</v>
      </c>
      <c r="H34" s="15">
        <f t="shared" si="14"/>
        <v>3.3386327503974585E-2</v>
      </c>
      <c r="I34" s="14">
        <v>121.4</v>
      </c>
      <c r="J34" s="15">
        <f t="shared" si="15"/>
        <v>5.9336823734729593E-2</v>
      </c>
      <c r="K34" s="14">
        <v>123.4</v>
      </c>
      <c r="L34" s="15">
        <f t="shared" si="16"/>
        <v>2.833333333333338E-2</v>
      </c>
      <c r="M34" s="14">
        <v>114.3</v>
      </c>
      <c r="N34" s="15">
        <f t="shared" si="17"/>
        <v>3.9090909090909065E-2</v>
      </c>
      <c r="O34" s="14">
        <v>133.6</v>
      </c>
      <c r="P34" s="15">
        <f t="shared" si="18"/>
        <v>4.7021943573667714E-2</v>
      </c>
      <c r="Q34" s="14">
        <v>131.69999999999999</v>
      </c>
      <c r="R34" s="15">
        <f t="shared" si="19"/>
        <v>4.8566878980891674E-2</v>
      </c>
    </row>
    <row r="35" spans="2:18" x14ac:dyDescent="0.25">
      <c r="B35" s="14" t="s">
        <v>33</v>
      </c>
      <c r="C35" s="14">
        <v>2018</v>
      </c>
      <c r="D35" s="14" t="s">
        <v>37</v>
      </c>
      <c r="E35" s="14">
        <v>135.69999999999999</v>
      </c>
      <c r="F35" s="15">
        <f t="shared" si="13"/>
        <v>1.7241379310344699E-2</v>
      </c>
      <c r="G35" s="14">
        <v>136.19999999999999</v>
      </c>
      <c r="H35" s="15">
        <f t="shared" si="14"/>
        <v>4.7692307692307603E-2</v>
      </c>
      <c r="I35" s="14">
        <v>124.6</v>
      </c>
      <c r="J35" s="15">
        <f t="shared" si="15"/>
        <v>2.6359143327841752E-2</v>
      </c>
      <c r="K35" s="14">
        <v>131.30000000000001</v>
      </c>
      <c r="L35" s="15">
        <f t="shared" si="16"/>
        <v>6.4019448946515442E-2</v>
      </c>
      <c r="M35" s="14">
        <v>118.9</v>
      </c>
      <c r="N35" s="15">
        <f t="shared" si="17"/>
        <v>4.0244969378827725E-2</v>
      </c>
      <c r="O35" s="14">
        <v>139.69999999999999</v>
      </c>
      <c r="P35" s="15">
        <f t="shared" si="18"/>
        <v>4.5658682634730496E-2</v>
      </c>
      <c r="Q35" s="14">
        <v>142.9</v>
      </c>
      <c r="R35" s="15">
        <f t="shared" si="19"/>
        <v>8.5041761579347133E-2</v>
      </c>
    </row>
    <row r="36" spans="2:18" x14ac:dyDescent="0.25">
      <c r="B36" s="14" t="s">
        <v>33</v>
      </c>
      <c r="C36" s="14">
        <v>2020</v>
      </c>
      <c r="D36" s="14" t="s">
        <v>37</v>
      </c>
      <c r="E36" s="14">
        <v>153.5</v>
      </c>
      <c r="F36" s="15">
        <f t="shared" si="13"/>
        <v>0.1311717022844511</v>
      </c>
      <c r="G36" s="14" t="s">
        <v>32</v>
      </c>
      <c r="H36" s="15" t="e">
        <f t="shared" si="14"/>
        <v>#VALUE!</v>
      </c>
      <c r="I36" s="14">
        <v>137.1</v>
      </c>
      <c r="J36" s="15">
        <f t="shared" si="15"/>
        <v>0.10032102728731943</v>
      </c>
      <c r="K36" s="14">
        <v>144.80000000000001</v>
      </c>
      <c r="L36" s="15">
        <f t="shared" si="16"/>
        <v>0.10281797410510281</v>
      </c>
      <c r="M36" s="14" t="s">
        <v>32</v>
      </c>
      <c r="N36" s="15" t="e">
        <f t="shared" si="17"/>
        <v>#VALUE!</v>
      </c>
      <c r="O36" s="14" t="s">
        <v>32</v>
      </c>
      <c r="P36" s="15" t="e">
        <f t="shared" si="18"/>
        <v>#VALUE!</v>
      </c>
      <c r="Q36" s="14">
        <v>155.6</v>
      </c>
      <c r="R36" s="15">
        <f t="shared" si="19"/>
        <v>8.8873337998600338E-2</v>
      </c>
    </row>
    <row r="37" spans="2:18" x14ac:dyDescent="0.25">
      <c r="B37" s="14" t="s">
        <v>33</v>
      </c>
      <c r="C37" s="14">
        <v>2021</v>
      </c>
      <c r="D37" s="14" t="s">
        <v>37</v>
      </c>
      <c r="E37" s="14">
        <v>162</v>
      </c>
      <c r="F37" s="15">
        <f t="shared" si="13"/>
        <v>5.5374592833876218E-2</v>
      </c>
      <c r="G37" s="14">
        <v>153.4</v>
      </c>
      <c r="H37" s="15" t="e">
        <f t="shared" si="14"/>
        <v>#VALUE!</v>
      </c>
      <c r="I37" s="14">
        <v>154.9</v>
      </c>
      <c r="J37" s="15">
        <f t="shared" si="15"/>
        <v>0.1298322392414297</v>
      </c>
      <c r="K37" s="14">
        <v>157.5</v>
      </c>
      <c r="L37" s="15">
        <f t="shared" si="16"/>
        <v>8.7707182320441904E-2</v>
      </c>
      <c r="M37" s="14">
        <v>142.1</v>
      </c>
      <c r="N37" s="15" t="e">
        <f t="shared" si="17"/>
        <v>#VALUE!</v>
      </c>
      <c r="O37" s="14">
        <v>157.6</v>
      </c>
      <c r="P37" s="15" t="e">
        <f t="shared" si="18"/>
        <v>#VALUE!</v>
      </c>
      <c r="Q37" s="14">
        <v>161.4</v>
      </c>
      <c r="R37" s="15">
        <f t="shared" si="19"/>
        <v>3.7275064267352262E-2</v>
      </c>
    </row>
    <row r="38" spans="2:18" x14ac:dyDescent="0.25">
      <c r="B38" s="14" t="s">
        <v>33</v>
      </c>
      <c r="C38" s="14">
        <v>2022</v>
      </c>
      <c r="D38" s="14" t="s">
        <v>37</v>
      </c>
      <c r="E38" s="14">
        <v>174.5</v>
      </c>
      <c r="F38" s="15">
        <f t="shared" si="13"/>
        <v>7.716049382716049E-2</v>
      </c>
      <c r="G38" s="14">
        <v>166.3</v>
      </c>
      <c r="H38" s="15">
        <f t="shared" si="14"/>
        <v>8.4093872229465488E-2</v>
      </c>
      <c r="I38" s="14">
        <v>170.5</v>
      </c>
      <c r="J38" s="15">
        <f t="shared" si="15"/>
        <v>0.1007101355713363</v>
      </c>
      <c r="K38" s="14">
        <v>169</v>
      </c>
      <c r="L38" s="15">
        <f t="shared" si="16"/>
        <v>7.301587301587302E-2</v>
      </c>
      <c r="M38" s="14">
        <v>159.30000000000001</v>
      </c>
      <c r="N38" s="15">
        <f t="shared" si="17"/>
        <v>0.12104152005629851</v>
      </c>
      <c r="O38" s="14">
        <v>164</v>
      </c>
      <c r="P38" s="15">
        <f t="shared" si="18"/>
        <v>4.0609137055837602E-2</v>
      </c>
      <c r="Q38" s="14">
        <v>167</v>
      </c>
      <c r="R38" s="15">
        <f t="shared" si="19"/>
        <v>3.4696406443618301E-2</v>
      </c>
    </row>
    <row r="39" spans="2:18" x14ac:dyDescent="0.25">
      <c r="B39" s="14" t="s">
        <v>33</v>
      </c>
      <c r="C39" s="14">
        <v>2023</v>
      </c>
      <c r="D39" s="14" t="s">
        <v>37</v>
      </c>
      <c r="E39" s="14">
        <v>182.1</v>
      </c>
      <c r="F39" s="15">
        <f t="shared" si="13"/>
        <v>4.3553008595988506E-2</v>
      </c>
      <c r="G39" s="14">
        <v>178.9</v>
      </c>
      <c r="H39" s="15">
        <f t="shared" si="14"/>
        <v>7.5766686710763642E-2</v>
      </c>
      <c r="I39" s="14">
        <v>182.1</v>
      </c>
      <c r="J39" s="15">
        <f t="shared" si="15"/>
        <v>6.8035190615835739E-2</v>
      </c>
      <c r="K39" s="14">
        <v>181.5</v>
      </c>
      <c r="L39" s="15">
        <f t="shared" si="16"/>
        <v>7.3964497041420121E-2</v>
      </c>
      <c r="M39" s="14">
        <v>160.1</v>
      </c>
      <c r="N39" s="15">
        <f t="shared" si="17"/>
        <v>5.0219711236659317E-3</v>
      </c>
      <c r="O39" s="14">
        <v>174.2</v>
      </c>
      <c r="P39" s="15">
        <f t="shared" si="18"/>
        <v>6.2195121951219443E-2</v>
      </c>
      <c r="Q39" s="14">
        <v>175.2</v>
      </c>
      <c r="R39" s="15">
        <f t="shared" si="19"/>
        <v>4.9101796407185559E-2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87188-7637-4A2A-853F-9123B3C714F2}">
  <dimension ref="A1:L39"/>
  <sheetViews>
    <sheetView workbookViewId="0">
      <selection activeCell="K19" sqref="K19"/>
    </sheetView>
  </sheetViews>
  <sheetFormatPr defaultRowHeight="15" x14ac:dyDescent="0.25"/>
  <cols>
    <col min="1" max="1" width="5" bestFit="1" customWidth="1"/>
    <col min="2" max="2" width="13.7109375" customWidth="1"/>
    <col min="3" max="3" width="19.7109375" bestFit="1" customWidth="1"/>
    <col min="4" max="4" width="13.140625" bestFit="1" customWidth="1"/>
    <col min="5" max="5" width="19.28515625" bestFit="1" customWidth="1"/>
    <col min="6" max="6" width="16.85546875" bestFit="1" customWidth="1"/>
    <col min="7" max="7" width="11.85546875" bestFit="1" customWidth="1"/>
    <col min="8" max="8" width="6" bestFit="1" customWidth="1"/>
    <col min="9" max="9" width="11" bestFit="1" customWidth="1"/>
    <col min="10" max="10" width="18.85546875" bestFit="1" customWidth="1"/>
    <col min="11" max="11" width="23" bestFit="1" customWidth="1"/>
    <col min="12" max="12" width="7.140625" bestFit="1" customWidth="1"/>
  </cols>
  <sheetData>
    <row r="1" spans="1:5" x14ac:dyDescent="0.25">
      <c r="A1" s="1" t="s">
        <v>53</v>
      </c>
    </row>
    <row r="2" spans="1:5" x14ac:dyDescent="0.25">
      <c r="A2" s="2" t="s">
        <v>54</v>
      </c>
    </row>
    <row r="3" spans="1:5" x14ac:dyDescent="0.25">
      <c r="A3" s="2" t="s">
        <v>55</v>
      </c>
    </row>
    <row r="5" spans="1:5" x14ac:dyDescent="0.25">
      <c r="A5" s="11" t="s">
        <v>1</v>
      </c>
      <c r="B5" s="11" t="s">
        <v>2</v>
      </c>
      <c r="C5" s="11" t="s">
        <v>63</v>
      </c>
      <c r="D5" s="11" t="s">
        <v>66</v>
      </c>
      <c r="E5" s="11" t="s">
        <v>80</v>
      </c>
    </row>
    <row r="6" spans="1:5" x14ac:dyDescent="0.25">
      <c r="A6" s="11">
        <v>2022</v>
      </c>
      <c r="B6" s="11" t="s">
        <v>39</v>
      </c>
      <c r="C6" s="11">
        <v>173.51999999999998</v>
      </c>
      <c r="D6" s="11"/>
      <c r="E6" s="9"/>
    </row>
    <row r="7" spans="1:5" x14ac:dyDescent="0.25">
      <c r="A7" s="11">
        <v>2022</v>
      </c>
      <c r="B7" s="11" t="s">
        <v>40</v>
      </c>
      <c r="C7" s="11">
        <v>173.77</v>
      </c>
      <c r="D7" s="25">
        <f>(C7-C6)/C6</f>
        <v>1.4407561088060654E-3</v>
      </c>
      <c r="E7" s="25">
        <f>(C17-C6)/C6</f>
        <v>1.4407561088059179E-2</v>
      </c>
    </row>
    <row r="8" spans="1:5" x14ac:dyDescent="0.25">
      <c r="A8" s="11">
        <v>2022</v>
      </c>
      <c r="B8" s="11" t="s">
        <v>41</v>
      </c>
      <c r="C8" s="11">
        <v>173.78000000000003</v>
      </c>
      <c r="D8" s="25">
        <f t="shared" ref="D8:D17" si="0">(C8-C7)/C7</f>
        <v>5.7547332681241445E-5</v>
      </c>
      <c r="E8" s="9"/>
    </row>
    <row r="9" spans="1:5" x14ac:dyDescent="0.25">
      <c r="A9" s="11">
        <v>2022</v>
      </c>
      <c r="B9" s="11" t="s">
        <v>42</v>
      </c>
      <c r="C9" s="11">
        <v>174.62999999999997</v>
      </c>
      <c r="D9" s="25">
        <f t="shared" si="0"/>
        <v>4.8912417999766216E-3</v>
      </c>
      <c r="E9" s="9"/>
    </row>
    <row r="10" spans="1:5" x14ac:dyDescent="0.25">
      <c r="A10" s="11">
        <v>2022</v>
      </c>
      <c r="B10" s="11" t="s">
        <v>43</v>
      </c>
      <c r="C10" s="11">
        <v>175.95000000000002</v>
      </c>
      <c r="D10" s="25">
        <f t="shared" si="0"/>
        <v>7.5588386875110247E-3</v>
      </c>
      <c r="E10" s="9"/>
    </row>
    <row r="11" spans="1:5" x14ac:dyDescent="0.25">
      <c r="A11" s="11">
        <v>2022</v>
      </c>
      <c r="B11" s="11" t="s">
        <v>45</v>
      </c>
      <c r="C11" s="11">
        <v>175.85999999999996</v>
      </c>
      <c r="D11" s="25">
        <f t="shared" si="0"/>
        <v>-5.1150895140699196E-4</v>
      </c>
      <c r="E11" s="9"/>
    </row>
    <row r="12" spans="1:5" x14ac:dyDescent="0.25">
      <c r="A12" s="11">
        <v>2022</v>
      </c>
      <c r="B12" s="11" t="s">
        <v>46</v>
      </c>
      <c r="C12" s="11">
        <v>174.62</v>
      </c>
      <c r="D12" s="25">
        <f t="shared" si="0"/>
        <v>-7.0510633458430146E-3</v>
      </c>
      <c r="E12" s="9"/>
    </row>
    <row r="13" spans="1:5" x14ac:dyDescent="0.25">
      <c r="A13" s="11">
        <v>2023</v>
      </c>
      <c r="B13" s="11" t="s">
        <v>31</v>
      </c>
      <c r="C13" s="11">
        <v>175.34</v>
      </c>
      <c r="D13" s="25">
        <f t="shared" si="0"/>
        <v>4.1232390333295092E-3</v>
      </c>
      <c r="E13" s="9"/>
    </row>
    <row r="14" spans="1:5" x14ac:dyDescent="0.25">
      <c r="A14" s="11">
        <v>2023</v>
      </c>
      <c r="B14" s="11" t="s">
        <v>35</v>
      </c>
      <c r="C14" s="11">
        <v>173.68</v>
      </c>
      <c r="D14" s="26">
        <f t="shared" si="0"/>
        <v>-9.4673206341963981E-3</v>
      </c>
      <c r="E14" s="9"/>
    </row>
    <row r="15" spans="1:5" x14ac:dyDescent="0.25">
      <c r="A15" s="11">
        <v>2023</v>
      </c>
      <c r="B15" s="11" t="s">
        <v>36</v>
      </c>
      <c r="C15" s="11">
        <v>173.69</v>
      </c>
      <c r="D15" s="25">
        <f t="shared" si="0"/>
        <v>5.7577153385484254E-5</v>
      </c>
      <c r="E15" s="9"/>
    </row>
    <row r="16" spans="1:5" x14ac:dyDescent="0.25">
      <c r="A16" s="11">
        <v>2023</v>
      </c>
      <c r="B16" s="11" t="s">
        <v>37</v>
      </c>
      <c r="C16" s="11">
        <v>174.53000000000003</v>
      </c>
      <c r="D16" s="25">
        <f t="shared" si="0"/>
        <v>4.8362024296161659E-3</v>
      </c>
      <c r="E16" s="9"/>
    </row>
    <row r="17" spans="1:12" x14ac:dyDescent="0.25">
      <c r="A17" s="11">
        <v>2023</v>
      </c>
      <c r="B17" s="11" t="s">
        <v>38</v>
      </c>
      <c r="C17" s="11">
        <v>176.02</v>
      </c>
      <c r="D17" s="26">
        <f t="shared" si="0"/>
        <v>8.5372142325100576E-3</v>
      </c>
      <c r="E17" s="9"/>
    </row>
    <row r="20" spans="1:12" x14ac:dyDescent="0.25">
      <c r="B20" s="37" t="s">
        <v>82</v>
      </c>
      <c r="C20" s="37"/>
      <c r="D20" s="37"/>
      <c r="E20" s="37"/>
      <c r="F20" s="37"/>
      <c r="G20" s="37"/>
      <c r="H20" s="37"/>
      <c r="I20" s="37"/>
      <c r="J20" s="37"/>
    </row>
    <row r="22" spans="1:12" s="1" customFormat="1" x14ac:dyDescent="0.25">
      <c r="A22" s="27" t="s">
        <v>1</v>
      </c>
      <c r="B22" s="27" t="s">
        <v>2</v>
      </c>
      <c r="C22" s="27" t="s">
        <v>3</v>
      </c>
      <c r="D22" s="27" t="s">
        <v>4</v>
      </c>
      <c r="E22" s="27" t="s">
        <v>5</v>
      </c>
      <c r="F22" s="27" t="s">
        <v>6</v>
      </c>
      <c r="G22" s="27" t="s">
        <v>7</v>
      </c>
      <c r="H22" s="27" t="s">
        <v>8</v>
      </c>
      <c r="I22" s="27" t="s">
        <v>9</v>
      </c>
      <c r="J22" s="27" t="s">
        <v>10</v>
      </c>
      <c r="K22" s="27" t="s">
        <v>11</v>
      </c>
      <c r="L22" s="27" t="s">
        <v>12</v>
      </c>
    </row>
    <row r="23" spans="1:12" x14ac:dyDescent="0.25">
      <c r="A23" s="11">
        <v>2022</v>
      </c>
      <c r="B23" s="11" t="s">
        <v>39</v>
      </c>
      <c r="C23" s="11">
        <v>155</v>
      </c>
      <c r="D23" s="11">
        <v>219.4</v>
      </c>
      <c r="E23" s="11">
        <v>170.8</v>
      </c>
      <c r="F23" s="11">
        <v>165.8</v>
      </c>
      <c r="G23" s="11">
        <v>200.9</v>
      </c>
      <c r="H23" s="11">
        <v>169.7</v>
      </c>
      <c r="I23" s="11">
        <v>182.3</v>
      </c>
      <c r="J23" s="11">
        <v>164.3</v>
      </c>
      <c r="K23" s="11">
        <v>119.9</v>
      </c>
      <c r="L23" s="11">
        <v>187.1</v>
      </c>
    </row>
    <row r="24" spans="1:12" x14ac:dyDescent="0.25">
      <c r="A24" s="11">
        <v>2022</v>
      </c>
      <c r="B24" s="11" t="s">
        <v>40</v>
      </c>
      <c r="C24" s="11">
        <v>156.5</v>
      </c>
      <c r="D24" s="11">
        <v>213</v>
      </c>
      <c r="E24" s="11">
        <v>175.2</v>
      </c>
      <c r="F24" s="11">
        <v>166.6</v>
      </c>
      <c r="G24" s="11">
        <v>195.8</v>
      </c>
      <c r="H24" s="11">
        <v>174.2</v>
      </c>
      <c r="I24" s="11">
        <v>182.1</v>
      </c>
      <c r="J24" s="11">
        <v>164.3</v>
      </c>
      <c r="K24" s="11">
        <v>120</v>
      </c>
      <c r="L24" s="11">
        <v>190</v>
      </c>
    </row>
    <row r="25" spans="1:12" x14ac:dyDescent="0.25">
      <c r="A25" s="11">
        <v>2022</v>
      </c>
      <c r="B25" s="11" t="s">
        <v>41</v>
      </c>
      <c r="C25" s="11">
        <v>160.30000000000001</v>
      </c>
      <c r="D25" s="11">
        <v>206.5</v>
      </c>
      <c r="E25" s="11">
        <v>169.2</v>
      </c>
      <c r="F25" s="11">
        <v>168.1</v>
      </c>
      <c r="G25" s="11">
        <v>192.4</v>
      </c>
      <c r="H25" s="11">
        <v>172.9</v>
      </c>
      <c r="I25" s="11">
        <v>186.7</v>
      </c>
      <c r="J25" s="11">
        <v>167.2</v>
      </c>
      <c r="K25" s="11">
        <v>120.9</v>
      </c>
      <c r="L25" s="11">
        <v>193.6</v>
      </c>
    </row>
    <row r="26" spans="1:12" x14ac:dyDescent="0.25">
      <c r="A26" s="11">
        <v>2022</v>
      </c>
      <c r="B26" s="11" t="s">
        <v>42</v>
      </c>
      <c r="C26" s="11">
        <v>163.5</v>
      </c>
      <c r="D26" s="11">
        <v>209.2</v>
      </c>
      <c r="E26" s="11">
        <v>169.7</v>
      </c>
      <c r="F26" s="11">
        <v>169.7</v>
      </c>
      <c r="G26" s="11">
        <v>188.7</v>
      </c>
      <c r="H26" s="11">
        <v>165.7</v>
      </c>
      <c r="I26" s="11">
        <v>191.8</v>
      </c>
      <c r="J26" s="11">
        <v>169.1</v>
      </c>
      <c r="K26" s="11">
        <v>121.6</v>
      </c>
      <c r="L26" s="11">
        <v>197.3</v>
      </c>
    </row>
    <row r="27" spans="1:12" x14ac:dyDescent="0.25">
      <c r="A27" s="11">
        <v>2022</v>
      </c>
      <c r="B27" s="11" t="s">
        <v>43</v>
      </c>
      <c r="C27" s="11">
        <v>165.2</v>
      </c>
      <c r="D27" s="11">
        <v>210.9</v>
      </c>
      <c r="E27" s="11">
        <v>170.9</v>
      </c>
      <c r="F27" s="11">
        <v>170.9</v>
      </c>
      <c r="G27" s="11">
        <v>186.5</v>
      </c>
      <c r="H27" s="11">
        <v>163.80000000000001</v>
      </c>
      <c r="I27" s="11">
        <v>199.7</v>
      </c>
      <c r="J27" s="11">
        <v>169.8</v>
      </c>
      <c r="K27" s="11">
        <v>121.9</v>
      </c>
      <c r="L27" s="11">
        <v>199.9</v>
      </c>
    </row>
    <row r="28" spans="1:12" x14ac:dyDescent="0.25">
      <c r="A28" s="11">
        <v>2022</v>
      </c>
      <c r="B28" s="11" t="s">
        <v>45</v>
      </c>
      <c r="C28" s="11">
        <v>167.4</v>
      </c>
      <c r="D28" s="11">
        <v>209.4</v>
      </c>
      <c r="E28" s="11">
        <v>181.4</v>
      </c>
      <c r="F28" s="11">
        <v>172.3</v>
      </c>
      <c r="G28" s="11">
        <v>188.9</v>
      </c>
      <c r="H28" s="11">
        <v>160.69999999999999</v>
      </c>
      <c r="I28" s="11">
        <v>183.1</v>
      </c>
      <c r="J28" s="11">
        <v>170.5</v>
      </c>
      <c r="K28" s="11">
        <v>122.1</v>
      </c>
      <c r="L28" s="11">
        <v>202.8</v>
      </c>
    </row>
    <row r="29" spans="1:12" x14ac:dyDescent="0.25">
      <c r="A29" s="11">
        <v>2022</v>
      </c>
      <c r="B29" s="11" t="s">
        <v>46</v>
      </c>
      <c r="C29" s="11">
        <v>169.2</v>
      </c>
      <c r="D29" s="11">
        <v>209</v>
      </c>
      <c r="E29" s="11">
        <v>190.2</v>
      </c>
      <c r="F29" s="11">
        <v>173.6</v>
      </c>
      <c r="G29" s="11">
        <v>188.5</v>
      </c>
      <c r="H29" s="11">
        <v>158</v>
      </c>
      <c r="I29" s="11">
        <v>159.9</v>
      </c>
      <c r="J29" s="11">
        <v>170.8</v>
      </c>
      <c r="K29" s="11">
        <v>121.8</v>
      </c>
      <c r="L29" s="11">
        <v>205.2</v>
      </c>
    </row>
    <row r="30" spans="1:12" x14ac:dyDescent="0.25">
      <c r="A30" s="11">
        <v>2023</v>
      </c>
      <c r="B30" s="11" t="s">
        <v>31</v>
      </c>
      <c r="C30" s="11">
        <v>173.8</v>
      </c>
      <c r="D30" s="11">
        <v>210.7</v>
      </c>
      <c r="E30" s="11">
        <v>194.5</v>
      </c>
      <c r="F30" s="11">
        <v>174.6</v>
      </c>
      <c r="G30" s="11">
        <v>187.2</v>
      </c>
      <c r="H30" s="11">
        <v>158.30000000000001</v>
      </c>
      <c r="I30" s="11">
        <v>153.9</v>
      </c>
      <c r="J30" s="11">
        <v>170.9</v>
      </c>
      <c r="K30" s="11">
        <v>121.1</v>
      </c>
      <c r="L30" s="11">
        <v>208.4</v>
      </c>
    </row>
    <row r="31" spans="1:12" x14ac:dyDescent="0.25">
      <c r="A31" s="11">
        <v>2023</v>
      </c>
      <c r="B31" s="11" t="s">
        <v>35</v>
      </c>
      <c r="C31" s="11">
        <v>174.4</v>
      </c>
      <c r="D31" s="11">
        <v>207.7</v>
      </c>
      <c r="E31" s="11">
        <v>175.2</v>
      </c>
      <c r="F31" s="11">
        <v>177.3</v>
      </c>
      <c r="G31" s="11">
        <v>179.3</v>
      </c>
      <c r="H31" s="11">
        <v>169.5</v>
      </c>
      <c r="I31" s="11">
        <v>152.69999999999999</v>
      </c>
      <c r="J31" s="11">
        <v>171</v>
      </c>
      <c r="K31" s="11">
        <v>120</v>
      </c>
      <c r="L31" s="11">
        <v>209.7</v>
      </c>
    </row>
    <row r="32" spans="1:12" x14ac:dyDescent="0.25">
      <c r="A32" s="11">
        <v>2023</v>
      </c>
      <c r="B32" s="11" t="s">
        <v>36</v>
      </c>
      <c r="C32" s="11">
        <v>174.4</v>
      </c>
      <c r="D32" s="11">
        <v>207.7</v>
      </c>
      <c r="E32" s="11">
        <v>175.2</v>
      </c>
      <c r="F32" s="11">
        <v>177.3</v>
      </c>
      <c r="G32" s="11">
        <v>179.2</v>
      </c>
      <c r="H32" s="11">
        <v>169.5</v>
      </c>
      <c r="I32" s="11">
        <v>152.80000000000001</v>
      </c>
      <c r="J32" s="11">
        <v>171.1</v>
      </c>
      <c r="K32" s="11">
        <v>120</v>
      </c>
      <c r="L32" s="11">
        <v>209.7</v>
      </c>
    </row>
    <row r="33" spans="1:12" x14ac:dyDescent="0.25">
      <c r="A33" s="11">
        <v>2023</v>
      </c>
      <c r="B33" s="11" t="s">
        <v>37</v>
      </c>
      <c r="C33" s="11">
        <v>173.8</v>
      </c>
      <c r="D33" s="11">
        <v>209.3</v>
      </c>
      <c r="E33" s="11">
        <v>169.6</v>
      </c>
      <c r="F33" s="11">
        <v>178.4</v>
      </c>
      <c r="G33" s="11">
        <v>174.9</v>
      </c>
      <c r="H33" s="11">
        <v>176.3</v>
      </c>
      <c r="I33" s="11">
        <v>155.4</v>
      </c>
      <c r="J33" s="11">
        <v>173.4</v>
      </c>
      <c r="K33" s="11">
        <v>121.3</v>
      </c>
      <c r="L33" s="11">
        <v>212.9</v>
      </c>
    </row>
    <row r="34" spans="1:12" x14ac:dyDescent="0.25">
      <c r="A34" s="11">
        <v>2023</v>
      </c>
      <c r="B34" s="11" t="s">
        <v>38</v>
      </c>
      <c r="C34" s="11">
        <v>173.7</v>
      </c>
      <c r="D34" s="11">
        <v>214.3</v>
      </c>
      <c r="E34" s="11">
        <v>173.2</v>
      </c>
      <c r="F34" s="11">
        <v>179.5</v>
      </c>
      <c r="G34" s="11">
        <v>170</v>
      </c>
      <c r="H34" s="11">
        <v>172.2</v>
      </c>
      <c r="I34" s="11">
        <v>161</v>
      </c>
      <c r="J34" s="11">
        <v>175.6</v>
      </c>
      <c r="K34" s="11">
        <v>122.7</v>
      </c>
      <c r="L34" s="11">
        <v>218</v>
      </c>
    </row>
    <row r="36" spans="1:12" x14ac:dyDescent="0.25">
      <c r="A36" s="34" t="s">
        <v>80</v>
      </c>
      <c r="B36" s="34"/>
      <c r="C36" s="8">
        <f>(C34-C23)/C23</f>
        <v>0.1206451612903225</v>
      </c>
      <c r="D36" s="8">
        <f t="shared" ref="D36:L36" si="1">(D34-D23)/D23</f>
        <v>-2.3245214220601614E-2</v>
      </c>
      <c r="E36" s="8">
        <f t="shared" si="1"/>
        <v>1.4051522248243426E-2</v>
      </c>
      <c r="F36" s="8">
        <f t="shared" si="1"/>
        <v>8.2629674306393175E-2</v>
      </c>
      <c r="G36" s="8">
        <f t="shared" si="1"/>
        <v>-0.15380786460925835</v>
      </c>
      <c r="H36" s="8">
        <f t="shared" si="1"/>
        <v>1.4731879787860933E-2</v>
      </c>
      <c r="I36" s="8">
        <f t="shared" si="1"/>
        <v>-0.11684037301151953</v>
      </c>
      <c r="J36" s="8">
        <f t="shared" si="1"/>
        <v>6.8776628119293873E-2</v>
      </c>
      <c r="K36" s="8">
        <f t="shared" si="1"/>
        <v>2.3352793994995805E-2</v>
      </c>
      <c r="L36" s="28">
        <f t="shared" si="1"/>
        <v>0.16515232495991453</v>
      </c>
    </row>
    <row r="38" spans="1:12" x14ac:dyDescent="0.25">
      <c r="B38" s="37" t="s">
        <v>81</v>
      </c>
      <c r="C38" s="37"/>
      <c r="D38" s="37"/>
      <c r="E38" s="37"/>
      <c r="F38" s="37"/>
      <c r="G38" s="37"/>
      <c r="H38" s="37"/>
      <c r="I38" s="37"/>
      <c r="J38" s="37"/>
    </row>
    <row r="39" spans="1:12" x14ac:dyDescent="0.25">
      <c r="B39" s="38" t="s">
        <v>83</v>
      </c>
      <c r="C39" s="38"/>
      <c r="D39" s="38"/>
      <c r="E39" s="38"/>
    </row>
  </sheetData>
  <mergeCells count="4">
    <mergeCell ref="A36:B36"/>
    <mergeCell ref="B38:J38"/>
    <mergeCell ref="B20:J20"/>
    <mergeCell ref="B39:E3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A9F11-FE68-4A36-AFDE-761E85FE2232}">
  <dimension ref="A1:F12"/>
  <sheetViews>
    <sheetView workbookViewId="0">
      <selection activeCell="F15" sqref="F15"/>
    </sheetView>
  </sheetViews>
  <sheetFormatPr defaultRowHeight="15" x14ac:dyDescent="0.25"/>
  <cols>
    <col min="3" max="3" width="11.42578125" bestFit="1" customWidth="1"/>
    <col min="6" max="6" width="27.140625" customWidth="1"/>
  </cols>
  <sheetData>
    <row r="1" spans="1:6" x14ac:dyDescent="0.25">
      <c r="A1" s="1" t="s">
        <v>56</v>
      </c>
    </row>
    <row r="2" spans="1:6" x14ac:dyDescent="0.25">
      <c r="A2" s="1" t="s">
        <v>57</v>
      </c>
    </row>
    <row r="4" spans="1:6" ht="30" x14ac:dyDescent="0.25">
      <c r="B4" s="27" t="s">
        <v>1</v>
      </c>
      <c r="C4" s="27" t="s">
        <v>2</v>
      </c>
      <c r="D4" s="27" t="s">
        <v>63</v>
      </c>
      <c r="E4" s="27" t="s">
        <v>23</v>
      </c>
      <c r="F4" s="4" t="s">
        <v>24</v>
      </c>
    </row>
    <row r="5" spans="1:6" x14ac:dyDescent="0.25">
      <c r="B5" s="27">
        <v>2020</v>
      </c>
      <c r="C5" s="5" t="s">
        <v>31</v>
      </c>
      <c r="D5" s="5">
        <v>149.22</v>
      </c>
      <c r="E5" s="5">
        <v>151.19999999999999</v>
      </c>
      <c r="F5" s="5">
        <v>130.9</v>
      </c>
    </row>
    <row r="6" spans="1:6" x14ac:dyDescent="0.25">
      <c r="B6" s="27">
        <v>2020</v>
      </c>
      <c r="C6" s="7" t="s">
        <v>35</v>
      </c>
      <c r="D6" s="7">
        <v>146.55000000000001</v>
      </c>
      <c r="E6" s="7">
        <v>151.69999999999999</v>
      </c>
      <c r="F6" s="7">
        <v>130.30000000000001</v>
      </c>
    </row>
    <row r="7" spans="1:6" x14ac:dyDescent="0.25">
      <c r="B7" s="11">
        <v>2020</v>
      </c>
      <c r="C7" s="11" t="s">
        <v>36</v>
      </c>
      <c r="D7" s="11">
        <v>145.02000000000001</v>
      </c>
      <c r="E7" s="11">
        <v>152.30000000000001</v>
      </c>
      <c r="F7" s="11">
        <v>129.9</v>
      </c>
    </row>
    <row r="8" spans="1:6" x14ac:dyDescent="0.25">
      <c r="B8" s="11">
        <v>2020</v>
      </c>
      <c r="C8" s="11" t="s">
        <v>37</v>
      </c>
      <c r="D8" s="11">
        <v>149.07599999999999</v>
      </c>
      <c r="E8" s="11">
        <v>150.69999999999999</v>
      </c>
      <c r="F8" s="11">
        <v>127.17</v>
      </c>
    </row>
    <row r="10" spans="1:6" ht="30" x14ac:dyDescent="0.25">
      <c r="C10" s="27" t="s">
        <v>66</v>
      </c>
      <c r="D10" s="27" t="s">
        <v>63</v>
      </c>
      <c r="E10" s="27" t="s">
        <v>23</v>
      </c>
      <c r="F10" s="4" t="s">
        <v>24</v>
      </c>
    </row>
    <row r="11" spans="1:6" x14ac:dyDescent="0.25">
      <c r="C11" s="6" t="s">
        <v>84</v>
      </c>
      <c r="D11" s="8">
        <f>(D7-D6)/D6</f>
        <v>-1.0440122824974418E-2</v>
      </c>
      <c r="E11" s="8">
        <f t="shared" ref="E11:F11" si="0">(E7-E6)/E6</f>
        <v>3.9551746868821541E-3</v>
      </c>
      <c r="F11" s="8">
        <f t="shared" si="0"/>
        <v>-3.0698388334612866E-3</v>
      </c>
    </row>
    <row r="12" spans="1:6" x14ac:dyDescent="0.25">
      <c r="C12" s="6" t="s">
        <v>85</v>
      </c>
      <c r="D12" s="8">
        <f>(D8-D7)/D7</f>
        <v>2.7968556061232816E-2</v>
      </c>
      <c r="E12" s="8">
        <f t="shared" ref="E12:F12" si="1">(E8-E7)/E7</f>
        <v>-1.0505581089954186E-2</v>
      </c>
      <c r="F12" s="8">
        <f t="shared" si="1"/>
        <v>-2.1016166281755226E-2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1A633-D72D-4416-9660-D8BBC8B961D0}">
  <dimension ref="A1:AD63"/>
  <sheetViews>
    <sheetView topLeftCell="A36" workbookViewId="0">
      <selection activeCell="I38" sqref="I38"/>
    </sheetView>
  </sheetViews>
  <sheetFormatPr defaultRowHeight="15" x14ac:dyDescent="0.25"/>
  <cols>
    <col min="2" max="2" width="5" bestFit="1" customWidth="1"/>
    <col min="3" max="3" width="34.5703125" customWidth="1"/>
    <col min="4" max="4" width="10.85546875" customWidth="1"/>
    <col min="5" max="5" width="12" customWidth="1"/>
    <col min="6" max="6" width="13.28515625" bestFit="1" customWidth="1"/>
    <col min="7" max="7" width="6" bestFit="1" customWidth="1"/>
    <col min="8" max="8" width="17" bestFit="1" customWidth="1"/>
    <col min="9" max="9" width="11.85546875" bestFit="1" customWidth="1"/>
    <col min="10" max="10" width="6" bestFit="1" customWidth="1"/>
    <col min="11" max="11" width="11" bestFit="1" customWidth="1"/>
    <col min="12" max="12" width="12.7109375" customWidth="1"/>
    <col min="13" max="13" width="14.140625" customWidth="1"/>
    <col min="14" max="14" width="6.5703125" bestFit="1" customWidth="1"/>
    <col min="15" max="15" width="16.7109375" customWidth="1"/>
    <col min="16" max="16" width="18.85546875" customWidth="1"/>
    <col min="17" max="17" width="12.85546875" customWidth="1"/>
    <col min="18" max="18" width="17" customWidth="1"/>
    <col min="19" max="19" width="8.42578125" bestFit="1" customWidth="1"/>
    <col min="20" max="20" width="9.42578125" bestFit="1" customWidth="1"/>
    <col min="21" max="21" width="14.7109375" customWidth="1"/>
    <col min="22" max="22" width="8.140625" bestFit="1" customWidth="1"/>
    <col min="23" max="23" width="13.140625" bestFit="1" customWidth="1"/>
    <col min="24" max="24" width="17.42578125" customWidth="1"/>
    <col min="25" max="25" width="6.85546875" bestFit="1" customWidth="1"/>
    <col min="26" max="26" width="18.42578125" customWidth="1"/>
    <col min="27" max="27" width="15.140625" customWidth="1"/>
    <col min="28" max="28" width="9.7109375" bestFit="1" customWidth="1"/>
    <col min="29" max="29" width="15.28515625" customWidth="1"/>
    <col min="30" max="30" width="14" bestFit="1" customWidth="1"/>
  </cols>
  <sheetData>
    <row r="1" spans="1:30" x14ac:dyDescent="0.25">
      <c r="A1" s="1" t="s">
        <v>58</v>
      </c>
    </row>
    <row r="2" spans="1:30" x14ac:dyDescent="0.25">
      <c r="A2" s="2" t="s">
        <v>59</v>
      </c>
    </row>
    <row r="3" spans="1:30" x14ac:dyDescent="0.25">
      <c r="A3" s="2" t="s">
        <v>60</v>
      </c>
    </row>
    <row r="5" spans="1:30" ht="30" x14ac:dyDescent="0.25">
      <c r="B5" s="11" t="s">
        <v>1</v>
      </c>
      <c r="C5" s="11" t="s">
        <v>2</v>
      </c>
      <c r="D5" s="11" t="s">
        <v>87</v>
      </c>
      <c r="E5" s="3" t="s">
        <v>3</v>
      </c>
      <c r="F5" s="3" t="s">
        <v>4</v>
      </c>
      <c r="G5" s="3" t="s">
        <v>5</v>
      </c>
      <c r="H5" s="3" t="s">
        <v>6</v>
      </c>
      <c r="I5" s="3" t="s">
        <v>7</v>
      </c>
      <c r="J5" s="3" t="s">
        <v>8</v>
      </c>
      <c r="K5" s="3" t="s">
        <v>9</v>
      </c>
      <c r="L5" s="3" t="s">
        <v>10</v>
      </c>
      <c r="M5" s="3" t="s">
        <v>11</v>
      </c>
      <c r="N5" s="3" t="s">
        <v>12</v>
      </c>
      <c r="O5" s="3" t="s">
        <v>13</v>
      </c>
      <c r="P5" s="3" t="s">
        <v>14</v>
      </c>
      <c r="Q5" s="3" t="s">
        <v>15</v>
      </c>
      <c r="R5" s="3" t="s">
        <v>16</v>
      </c>
      <c r="S5" s="3" t="s">
        <v>17</v>
      </c>
      <c r="T5" s="3" t="s">
        <v>18</v>
      </c>
      <c r="U5" s="3" t="s">
        <v>19</v>
      </c>
      <c r="V5" s="3" t="s">
        <v>20</v>
      </c>
      <c r="W5" s="3" t="s">
        <v>21</v>
      </c>
      <c r="X5" s="3" t="s">
        <v>22</v>
      </c>
      <c r="Y5" s="3" t="s">
        <v>23</v>
      </c>
      <c r="Z5" s="3" t="s">
        <v>24</v>
      </c>
      <c r="AA5" s="3" t="s">
        <v>25</v>
      </c>
      <c r="AB5" s="3" t="s">
        <v>26</v>
      </c>
      <c r="AC5" s="3" t="s">
        <v>27</v>
      </c>
      <c r="AD5" s="3" t="s">
        <v>28</v>
      </c>
    </row>
    <row r="6" spans="1:30" x14ac:dyDescent="0.25">
      <c r="B6" s="11">
        <v>2021</v>
      </c>
      <c r="C6" s="11" t="s">
        <v>31</v>
      </c>
      <c r="D6" s="29">
        <v>66695.478654874634</v>
      </c>
      <c r="E6" s="9">
        <v>144.9</v>
      </c>
      <c r="F6" s="9">
        <v>190.1</v>
      </c>
      <c r="G6" s="9">
        <v>175.3</v>
      </c>
      <c r="H6" s="9">
        <v>154.1</v>
      </c>
      <c r="I6" s="9">
        <v>150.9</v>
      </c>
      <c r="J6" s="9">
        <v>149.6</v>
      </c>
      <c r="K6" s="9">
        <v>194.2</v>
      </c>
      <c r="L6" s="9">
        <v>160.4</v>
      </c>
      <c r="M6" s="9">
        <v>114.6</v>
      </c>
      <c r="N6" s="9">
        <v>164</v>
      </c>
      <c r="O6" s="9">
        <v>151.80000000000001</v>
      </c>
      <c r="P6" s="9">
        <v>165.6</v>
      </c>
      <c r="Q6" s="9">
        <v>161</v>
      </c>
      <c r="R6" s="9">
        <v>186.5</v>
      </c>
      <c r="S6" s="9">
        <v>155.5</v>
      </c>
      <c r="T6" s="9">
        <v>146.1</v>
      </c>
      <c r="U6" s="9">
        <v>154.19999999999999</v>
      </c>
      <c r="V6" s="9">
        <v>157.69999999999999</v>
      </c>
      <c r="W6" s="9">
        <v>147.9</v>
      </c>
      <c r="X6" s="9">
        <v>150</v>
      </c>
      <c r="Y6" s="9">
        <v>159.30000000000001</v>
      </c>
      <c r="Z6" s="9">
        <v>141.9</v>
      </c>
      <c r="AA6" s="9">
        <v>149.6</v>
      </c>
      <c r="AB6" s="9">
        <v>159.19999999999999</v>
      </c>
      <c r="AC6" s="9">
        <v>156.80000000000001</v>
      </c>
      <c r="AD6" s="9">
        <v>151.9</v>
      </c>
    </row>
    <row r="7" spans="1:30" x14ac:dyDescent="0.25">
      <c r="B7" s="11">
        <v>2021</v>
      </c>
      <c r="C7" s="11" t="s">
        <v>35</v>
      </c>
      <c r="D7" s="29">
        <v>60965.591062388856</v>
      </c>
      <c r="E7" s="9">
        <v>144.30000000000001</v>
      </c>
      <c r="F7" s="9">
        <v>186.5</v>
      </c>
      <c r="G7" s="9">
        <v>168.7</v>
      </c>
      <c r="H7" s="9">
        <v>154.69999999999999</v>
      </c>
      <c r="I7" s="9">
        <v>158.69999999999999</v>
      </c>
      <c r="J7" s="9">
        <v>150.69999999999999</v>
      </c>
      <c r="K7" s="9">
        <v>160</v>
      </c>
      <c r="L7" s="9">
        <v>158.80000000000001</v>
      </c>
      <c r="M7" s="9">
        <v>112.8</v>
      </c>
      <c r="N7" s="9">
        <v>164.2</v>
      </c>
      <c r="O7" s="9">
        <v>155.5</v>
      </c>
      <c r="P7" s="9">
        <v>167.5</v>
      </c>
      <c r="Q7" s="9">
        <v>156.9</v>
      </c>
      <c r="R7" s="9">
        <v>188.3</v>
      </c>
      <c r="S7" s="9">
        <v>157.19999999999999</v>
      </c>
      <c r="T7" s="9">
        <v>147.4</v>
      </c>
      <c r="U7" s="9">
        <v>155.80000000000001</v>
      </c>
      <c r="V7" s="9">
        <v>159.80000000000001</v>
      </c>
      <c r="W7" s="9">
        <v>152.4</v>
      </c>
      <c r="X7" s="9">
        <v>150.9</v>
      </c>
      <c r="Y7" s="9">
        <v>161.30000000000001</v>
      </c>
      <c r="Z7" s="9">
        <v>145.1</v>
      </c>
      <c r="AA7" s="9">
        <v>151.5</v>
      </c>
      <c r="AB7" s="9">
        <v>159.5</v>
      </c>
      <c r="AC7" s="9">
        <v>155.80000000000001</v>
      </c>
      <c r="AD7" s="9">
        <v>153.4</v>
      </c>
    </row>
    <row r="8" spans="1:30" x14ac:dyDescent="0.25">
      <c r="B8" s="11">
        <v>2021</v>
      </c>
      <c r="C8" s="11" t="s">
        <v>36</v>
      </c>
      <c r="D8" s="29">
        <v>75470.774130757563</v>
      </c>
      <c r="E8" s="9">
        <v>144.1</v>
      </c>
      <c r="F8" s="9">
        <v>192.2</v>
      </c>
      <c r="G8" s="9">
        <v>163.80000000000001</v>
      </c>
      <c r="H8" s="9">
        <v>154.9</v>
      </c>
      <c r="I8" s="9">
        <v>163.9</v>
      </c>
      <c r="J8" s="9">
        <v>153.69999999999999</v>
      </c>
      <c r="K8" s="9">
        <v>149.5</v>
      </c>
      <c r="L8" s="9">
        <v>159.80000000000001</v>
      </c>
      <c r="M8" s="9">
        <v>112.6</v>
      </c>
      <c r="N8" s="9">
        <v>163.5</v>
      </c>
      <c r="O8" s="9">
        <v>156.5</v>
      </c>
      <c r="P8" s="9">
        <v>168.2</v>
      </c>
      <c r="Q8" s="9">
        <v>156.69999999999999</v>
      </c>
      <c r="R8" s="9">
        <v>188.1</v>
      </c>
      <c r="S8" s="9">
        <v>157.80000000000001</v>
      </c>
      <c r="T8" s="9">
        <v>147.9</v>
      </c>
      <c r="U8" s="9">
        <v>156.4</v>
      </c>
      <c r="V8" s="9">
        <v>159.9</v>
      </c>
      <c r="W8" s="9">
        <v>155.5</v>
      </c>
      <c r="X8" s="9">
        <v>151.19999999999999</v>
      </c>
      <c r="Y8" s="9">
        <v>161.69999999999999</v>
      </c>
      <c r="Z8" s="9">
        <v>146.19999999999999</v>
      </c>
      <c r="AA8" s="9">
        <v>152.6</v>
      </c>
      <c r="AB8" s="9">
        <v>160.19999999999999</v>
      </c>
      <c r="AC8" s="9">
        <v>153.80000000000001</v>
      </c>
      <c r="AD8" s="9">
        <v>153.80000000000001</v>
      </c>
    </row>
    <row r="9" spans="1:30" x14ac:dyDescent="0.25">
      <c r="B9" s="11">
        <v>2021</v>
      </c>
      <c r="C9" s="11" t="s">
        <v>37</v>
      </c>
      <c r="D9">
        <v>74207.645156289771</v>
      </c>
      <c r="E9" s="9">
        <v>144.30000000000001</v>
      </c>
      <c r="F9" s="9">
        <v>198</v>
      </c>
      <c r="G9" s="9">
        <v>164.6</v>
      </c>
      <c r="H9" s="9">
        <v>155.4</v>
      </c>
      <c r="I9" s="9">
        <v>170.1</v>
      </c>
      <c r="J9" s="9">
        <v>164.4</v>
      </c>
      <c r="K9" s="9">
        <v>144.1</v>
      </c>
      <c r="L9" s="9">
        <v>161.69999999999999</v>
      </c>
      <c r="M9" s="9">
        <v>113.1</v>
      </c>
      <c r="N9" s="9">
        <v>163.9</v>
      </c>
      <c r="O9" s="9">
        <v>157.6</v>
      </c>
      <c r="P9" s="9">
        <v>168.9</v>
      </c>
      <c r="Q9" s="9">
        <v>158</v>
      </c>
      <c r="R9" s="9">
        <v>188.8</v>
      </c>
      <c r="S9" s="9">
        <v>158.80000000000001</v>
      </c>
      <c r="T9" s="9">
        <v>148.5</v>
      </c>
      <c r="U9" s="9">
        <v>157.30000000000001</v>
      </c>
      <c r="V9" s="9">
        <v>161.4</v>
      </c>
      <c r="W9" s="9">
        <v>155.6</v>
      </c>
      <c r="X9" s="9">
        <v>151.80000000000001</v>
      </c>
      <c r="Y9" s="9">
        <v>162.30000000000001</v>
      </c>
      <c r="Z9" s="9">
        <v>146.6</v>
      </c>
      <c r="AA9" s="9">
        <v>153.19999999999999</v>
      </c>
      <c r="AB9" s="9">
        <v>160.30000000000001</v>
      </c>
      <c r="AC9" s="9">
        <v>155.4</v>
      </c>
      <c r="AD9" s="9">
        <v>154.4</v>
      </c>
    </row>
    <row r="10" spans="1:30" x14ac:dyDescent="0.25">
      <c r="B10" s="11">
        <v>2021</v>
      </c>
      <c r="C10" s="11" t="s">
        <v>38</v>
      </c>
      <c r="D10">
        <v>70046.397374263441</v>
      </c>
      <c r="E10" s="9">
        <v>146.30000000000001</v>
      </c>
      <c r="F10" s="9">
        <v>200.5</v>
      </c>
      <c r="G10" s="9">
        <v>170.3</v>
      </c>
      <c r="H10" s="9">
        <v>156.1</v>
      </c>
      <c r="I10" s="9">
        <v>178.7</v>
      </c>
      <c r="J10" s="9">
        <v>167.1</v>
      </c>
      <c r="K10" s="9">
        <v>147.9</v>
      </c>
      <c r="L10" s="9">
        <v>165.4</v>
      </c>
      <c r="M10" s="9">
        <v>114.8</v>
      </c>
      <c r="N10" s="9">
        <v>168.2</v>
      </c>
      <c r="O10" s="9">
        <v>159.30000000000001</v>
      </c>
      <c r="P10" s="9">
        <v>170.4</v>
      </c>
      <c r="Q10" s="9">
        <v>160.69999999999999</v>
      </c>
      <c r="R10" s="9">
        <v>191.9</v>
      </c>
      <c r="S10" s="9">
        <v>161.80000000000001</v>
      </c>
      <c r="T10" s="9">
        <v>152.1</v>
      </c>
      <c r="U10" s="9">
        <v>160.4</v>
      </c>
      <c r="V10" s="9">
        <v>161.6</v>
      </c>
      <c r="W10" s="9">
        <v>159.4</v>
      </c>
      <c r="X10" s="9">
        <v>154.69999999999999</v>
      </c>
      <c r="Y10" s="9">
        <v>165.8</v>
      </c>
      <c r="Z10" s="9">
        <v>148.9</v>
      </c>
      <c r="AA10" s="9">
        <v>155.80000000000001</v>
      </c>
      <c r="AB10" s="9">
        <v>161.19999999999999</v>
      </c>
      <c r="AC10" s="9">
        <v>158.6</v>
      </c>
      <c r="AD10" s="9">
        <v>156.80000000000001</v>
      </c>
    </row>
    <row r="11" spans="1:30" x14ac:dyDescent="0.25">
      <c r="B11" s="11">
        <v>2021</v>
      </c>
      <c r="C11" s="11" t="s">
        <v>39</v>
      </c>
      <c r="D11">
        <v>71679.348913787879</v>
      </c>
      <c r="E11" s="9">
        <v>146.69999999999999</v>
      </c>
      <c r="F11" s="9">
        <v>202</v>
      </c>
      <c r="G11" s="9">
        <v>180.7</v>
      </c>
      <c r="H11" s="9">
        <v>156.19999999999999</v>
      </c>
      <c r="I11" s="9">
        <v>183.7</v>
      </c>
      <c r="J11" s="9">
        <v>164.6</v>
      </c>
      <c r="K11" s="9">
        <v>155.4</v>
      </c>
      <c r="L11" s="9">
        <v>166</v>
      </c>
      <c r="M11" s="9">
        <v>115.1</v>
      </c>
      <c r="N11" s="9">
        <v>168.5</v>
      </c>
      <c r="O11" s="9">
        <v>160</v>
      </c>
      <c r="P11" s="9">
        <v>172.4</v>
      </c>
      <c r="Q11" s="9">
        <v>162.6</v>
      </c>
      <c r="R11" s="9">
        <v>190.8</v>
      </c>
      <c r="S11" s="9">
        <v>162.19999999999999</v>
      </c>
      <c r="T11" s="9">
        <v>151.80000000000001</v>
      </c>
      <c r="U11" s="9">
        <v>160.69999999999999</v>
      </c>
      <c r="V11" s="9">
        <v>160.5</v>
      </c>
      <c r="W11" s="9">
        <v>159.80000000000001</v>
      </c>
      <c r="X11" s="9">
        <v>154.80000000000001</v>
      </c>
      <c r="Y11" s="9">
        <v>166.3</v>
      </c>
      <c r="Z11" s="9">
        <v>150.69999999999999</v>
      </c>
      <c r="AA11" s="9">
        <v>154.9</v>
      </c>
      <c r="AB11" s="9">
        <v>161.69999999999999</v>
      </c>
      <c r="AC11" s="9">
        <v>158.80000000000001</v>
      </c>
      <c r="AD11" s="9">
        <v>157.6</v>
      </c>
    </row>
    <row r="12" spans="1:30" x14ac:dyDescent="0.25">
      <c r="B12" s="11">
        <v>2021</v>
      </c>
      <c r="C12" s="11" t="s">
        <v>40</v>
      </c>
      <c r="D12">
        <v>72860.439470110607</v>
      </c>
      <c r="E12" s="9">
        <v>146.4</v>
      </c>
      <c r="F12" s="9">
        <v>206.8</v>
      </c>
      <c r="G12" s="9">
        <v>182.2</v>
      </c>
      <c r="H12" s="9">
        <v>157.5</v>
      </c>
      <c r="I12" s="9">
        <v>182.1</v>
      </c>
      <c r="J12" s="9">
        <v>163.9</v>
      </c>
      <c r="K12" s="9">
        <v>164.2</v>
      </c>
      <c r="L12" s="9">
        <v>164</v>
      </c>
      <c r="M12" s="9">
        <v>114.5</v>
      </c>
      <c r="N12" s="9">
        <v>168.3</v>
      </c>
      <c r="O12" s="9">
        <v>160.9</v>
      </c>
      <c r="P12" s="9">
        <v>172.2</v>
      </c>
      <c r="Q12" s="9">
        <v>164</v>
      </c>
      <c r="R12" s="9">
        <v>191.2</v>
      </c>
      <c r="S12" s="9">
        <v>162.80000000000001</v>
      </c>
      <c r="T12" s="9">
        <v>153.1</v>
      </c>
      <c r="U12" s="9">
        <v>161.4</v>
      </c>
      <c r="V12" s="9">
        <v>161.5</v>
      </c>
      <c r="W12" s="9">
        <v>160.69999999999999</v>
      </c>
      <c r="X12" s="9">
        <v>155.80000000000001</v>
      </c>
      <c r="Y12" s="9">
        <v>167</v>
      </c>
      <c r="Z12" s="9">
        <v>153.1</v>
      </c>
      <c r="AA12" s="9">
        <v>155.30000000000001</v>
      </c>
      <c r="AB12" s="9">
        <v>163.19999999999999</v>
      </c>
      <c r="AC12" s="9">
        <v>160.1</v>
      </c>
      <c r="AD12" s="9">
        <v>159</v>
      </c>
    </row>
    <row r="13" spans="1:30" x14ac:dyDescent="0.25">
      <c r="B13" s="11">
        <v>2021</v>
      </c>
      <c r="C13" s="11" t="s">
        <v>41</v>
      </c>
      <c r="D13">
        <v>80983.015512993996</v>
      </c>
      <c r="E13" s="9">
        <v>146.6</v>
      </c>
      <c r="F13" s="9">
        <v>204</v>
      </c>
      <c r="G13" s="9">
        <v>172.8</v>
      </c>
      <c r="H13" s="9">
        <v>158.4</v>
      </c>
      <c r="I13" s="9">
        <v>188</v>
      </c>
      <c r="J13" s="9">
        <v>156.80000000000001</v>
      </c>
      <c r="K13" s="9">
        <v>162.19999999999999</v>
      </c>
      <c r="L13" s="9">
        <v>164.1</v>
      </c>
      <c r="M13" s="9">
        <v>119.7</v>
      </c>
      <c r="N13" s="9">
        <v>168.8</v>
      </c>
      <c r="O13" s="9">
        <v>162.69999999999999</v>
      </c>
      <c r="P13" s="9">
        <v>173.9</v>
      </c>
      <c r="Q13" s="9">
        <v>164</v>
      </c>
      <c r="R13" s="9">
        <v>192.1</v>
      </c>
      <c r="S13" s="9">
        <v>164.5</v>
      </c>
      <c r="T13" s="9">
        <v>155.30000000000001</v>
      </c>
      <c r="U13" s="9">
        <v>163.19999999999999</v>
      </c>
      <c r="V13" s="9">
        <v>162.1</v>
      </c>
      <c r="W13" s="9">
        <v>162.6</v>
      </c>
      <c r="X13" s="9">
        <v>157.5</v>
      </c>
      <c r="Y13" s="9">
        <v>168.4</v>
      </c>
      <c r="Z13" s="9">
        <v>154</v>
      </c>
      <c r="AA13" s="9">
        <v>157.6</v>
      </c>
      <c r="AB13" s="9">
        <v>163.80000000000001</v>
      </c>
      <c r="AC13" s="9">
        <v>160</v>
      </c>
      <c r="AD13" s="9">
        <v>160</v>
      </c>
    </row>
    <row r="14" spans="1:30" x14ac:dyDescent="0.25">
      <c r="B14" s="11">
        <v>2021</v>
      </c>
      <c r="C14" s="11" t="s">
        <v>42</v>
      </c>
      <c r="D14">
        <v>83035.173906576631</v>
      </c>
      <c r="E14" s="9">
        <v>146.6</v>
      </c>
      <c r="F14" s="9">
        <v>204</v>
      </c>
      <c r="G14" s="9">
        <v>172.8</v>
      </c>
      <c r="H14" s="9">
        <v>158.4</v>
      </c>
      <c r="I14" s="9">
        <v>188</v>
      </c>
      <c r="J14" s="9">
        <v>156.69999999999999</v>
      </c>
      <c r="K14" s="9">
        <v>162.30000000000001</v>
      </c>
      <c r="L14" s="9">
        <v>164.1</v>
      </c>
      <c r="M14" s="9">
        <v>119.7</v>
      </c>
      <c r="N14" s="9">
        <v>168.8</v>
      </c>
      <c r="O14" s="9">
        <v>162.69999999999999</v>
      </c>
      <c r="P14" s="9">
        <v>173.9</v>
      </c>
      <c r="Q14" s="9">
        <v>164</v>
      </c>
      <c r="R14" s="9">
        <v>192.1</v>
      </c>
      <c r="S14" s="9">
        <v>164.6</v>
      </c>
      <c r="T14" s="9">
        <v>155.30000000000001</v>
      </c>
      <c r="U14" s="9">
        <v>163.30000000000001</v>
      </c>
      <c r="V14" s="9">
        <v>162.1</v>
      </c>
      <c r="W14" s="9">
        <v>162.6</v>
      </c>
      <c r="X14" s="9">
        <v>157.5</v>
      </c>
      <c r="Y14" s="9">
        <v>168.4</v>
      </c>
      <c r="Z14" s="9">
        <v>154</v>
      </c>
      <c r="AA14" s="9">
        <v>157.69999999999999</v>
      </c>
      <c r="AB14" s="9">
        <v>163.69999999999999</v>
      </c>
      <c r="AC14" s="9">
        <v>160</v>
      </c>
      <c r="AD14" s="9">
        <v>160</v>
      </c>
    </row>
    <row r="15" spans="1:30" x14ac:dyDescent="0.25">
      <c r="B15" s="11">
        <v>2021</v>
      </c>
      <c r="C15" s="11" t="s">
        <v>43</v>
      </c>
      <c r="D15">
        <v>91471.513995553876</v>
      </c>
      <c r="E15" s="9">
        <v>147.4</v>
      </c>
      <c r="F15" s="9">
        <v>204.6</v>
      </c>
      <c r="G15" s="9">
        <v>171.2</v>
      </c>
      <c r="H15" s="9">
        <v>158.69999999999999</v>
      </c>
      <c r="I15" s="9">
        <v>190.6</v>
      </c>
      <c r="J15" s="9">
        <v>155.69999999999999</v>
      </c>
      <c r="K15" s="9">
        <v>185.3</v>
      </c>
      <c r="L15" s="9">
        <v>165.2</v>
      </c>
      <c r="M15" s="9">
        <v>121.9</v>
      </c>
      <c r="N15" s="9">
        <v>169.3</v>
      </c>
      <c r="O15" s="9">
        <v>163.19999999999999</v>
      </c>
      <c r="P15" s="9">
        <v>174.7</v>
      </c>
      <c r="Q15" s="9">
        <v>167.7</v>
      </c>
      <c r="R15" s="9">
        <v>192.7</v>
      </c>
      <c r="S15" s="9">
        <v>165.7</v>
      </c>
      <c r="T15" s="9">
        <v>156.30000000000001</v>
      </c>
      <c r="U15" s="9">
        <v>164.3</v>
      </c>
      <c r="V15" s="9">
        <v>163.6</v>
      </c>
      <c r="W15" s="9">
        <v>164.2</v>
      </c>
      <c r="X15" s="9">
        <v>158.4</v>
      </c>
      <c r="Y15" s="9">
        <v>169.1</v>
      </c>
      <c r="Z15" s="9">
        <v>155.69999999999999</v>
      </c>
      <c r="AA15" s="9">
        <v>158.6</v>
      </c>
      <c r="AB15" s="9">
        <v>163.9</v>
      </c>
      <c r="AC15" s="9">
        <v>160.80000000000001</v>
      </c>
      <c r="AD15" s="9">
        <v>161</v>
      </c>
    </row>
    <row r="16" spans="1:30" x14ac:dyDescent="0.25">
      <c r="B16" s="11">
        <v>2021</v>
      </c>
      <c r="C16" s="11" t="s">
        <v>45</v>
      </c>
      <c r="D16">
        <v>95105.451863192153</v>
      </c>
      <c r="E16" s="9">
        <v>148.19999999999999</v>
      </c>
      <c r="F16" s="9">
        <v>201.6</v>
      </c>
      <c r="G16" s="9">
        <v>173</v>
      </c>
      <c r="H16" s="9">
        <v>159.30000000000001</v>
      </c>
      <c r="I16" s="9">
        <v>190.1</v>
      </c>
      <c r="J16" s="9">
        <v>156.5</v>
      </c>
      <c r="K16" s="9">
        <v>199.2</v>
      </c>
      <c r="L16" s="9">
        <v>165.3</v>
      </c>
      <c r="M16" s="9">
        <v>122.4</v>
      </c>
      <c r="N16" s="9">
        <v>169.6</v>
      </c>
      <c r="O16" s="9">
        <v>163.69999999999999</v>
      </c>
      <c r="P16" s="9">
        <v>175.5</v>
      </c>
      <c r="Q16" s="9">
        <v>169.7</v>
      </c>
      <c r="R16" s="9">
        <v>192.9</v>
      </c>
      <c r="S16" s="9">
        <v>167.2</v>
      </c>
      <c r="T16" s="9">
        <v>157.4</v>
      </c>
      <c r="U16" s="9">
        <v>165.8</v>
      </c>
      <c r="V16" s="9">
        <v>164.2</v>
      </c>
      <c r="W16" s="9">
        <v>163.9</v>
      </c>
      <c r="X16" s="9">
        <v>159.30000000000001</v>
      </c>
      <c r="Y16" s="9">
        <v>169.9</v>
      </c>
      <c r="Z16" s="9">
        <v>154.80000000000001</v>
      </c>
      <c r="AA16" s="9">
        <v>159.80000000000001</v>
      </c>
      <c r="AB16" s="9">
        <v>164.3</v>
      </c>
      <c r="AC16" s="9">
        <v>162.19999999999999</v>
      </c>
      <c r="AD16" s="9">
        <v>161.4</v>
      </c>
    </row>
    <row r="17" spans="2:30" x14ac:dyDescent="0.25">
      <c r="B17" s="11">
        <v>2021</v>
      </c>
      <c r="C17" s="11" t="s">
        <v>46</v>
      </c>
      <c r="D17">
        <v>100380.52800837092</v>
      </c>
      <c r="E17" s="9">
        <v>148.69999999999999</v>
      </c>
      <c r="F17" s="9">
        <v>198.8</v>
      </c>
      <c r="G17" s="9">
        <v>177.9</v>
      </c>
      <c r="H17" s="9">
        <v>159.9</v>
      </c>
      <c r="I17" s="9">
        <v>187.6</v>
      </c>
      <c r="J17" s="9">
        <v>154.9</v>
      </c>
      <c r="K17" s="9">
        <v>188.3</v>
      </c>
      <c r="L17" s="9">
        <v>164.4</v>
      </c>
      <c r="M17" s="9">
        <v>121</v>
      </c>
      <c r="N17" s="9">
        <v>170.5</v>
      </c>
      <c r="O17" s="9">
        <v>164.2</v>
      </c>
      <c r="P17" s="9">
        <v>176.5</v>
      </c>
      <c r="Q17" s="9">
        <v>168.2</v>
      </c>
      <c r="R17" s="9">
        <v>192.4</v>
      </c>
      <c r="S17" s="9">
        <v>168.5</v>
      </c>
      <c r="T17" s="9">
        <v>158.69999999999999</v>
      </c>
      <c r="U17" s="9">
        <v>167</v>
      </c>
      <c r="V17" s="9">
        <v>163.4</v>
      </c>
      <c r="W17" s="9">
        <v>164.1</v>
      </c>
      <c r="X17" s="9">
        <v>160.19999999999999</v>
      </c>
      <c r="Y17" s="9">
        <v>170.6</v>
      </c>
      <c r="Z17" s="9">
        <v>155.69999999999999</v>
      </c>
      <c r="AA17" s="9">
        <v>160.6</v>
      </c>
      <c r="AB17" s="9">
        <v>164.4</v>
      </c>
      <c r="AC17" s="9">
        <v>162.6</v>
      </c>
      <c r="AD17" s="9">
        <v>162</v>
      </c>
    </row>
    <row r="18" spans="2:30" x14ac:dyDescent="0.25">
      <c r="B18" s="11">
        <v>2022</v>
      </c>
      <c r="C18" s="11" t="s">
        <v>31</v>
      </c>
      <c r="D18">
        <v>101828.28887769801</v>
      </c>
      <c r="E18" s="9">
        <v>149.5</v>
      </c>
      <c r="F18" s="9">
        <v>198.7</v>
      </c>
      <c r="G18" s="9">
        <v>178.8</v>
      </c>
      <c r="H18" s="9">
        <v>160.5</v>
      </c>
      <c r="I18" s="9">
        <v>184.7</v>
      </c>
      <c r="J18" s="9">
        <v>153.69999999999999</v>
      </c>
      <c r="K18" s="9">
        <v>174.3</v>
      </c>
      <c r="L18" s="9">
        <v>163.9</v>
      </c>
      <c r="M18" s="9">
        <v>120</v>
      </c>
      <c r="N18" s="9">
        <v>172.1</v>
      </c>
      <c r="O18" s="9">
        <v>164.3</v>
      </c>
      <c r="P18" s="9">
        <v>177.3</v>
      </c>
      <c r="Q18" s="9">
        <v>166.4</v>
      </c>
      <c r="R18" s="9">
        <v>192.2</v>
      </c>
      <c r="S18" s="9">
        <v>169.9</v>
      </c>
      <c r="T18" s="9">
        <v>160.69999999999999</v>
      </c>
      <c r="U18" s="9">
        <v>168.5</v>
      </c>
      <c r="V18" s="9">
        <v>164.5</v>
      </c>
      <c r="W18" s="9">
        <v>164.2</v>
      </c>
      <c r="X18" s="9">
        <v>161.1</v>
      </c>
      <c r="Y18" s="9">
        <v>171.4</v>
      </c>
      <c r="Z18" s="9">
        <v>156.5</v>
      </c>
      <c r="AA18" s="9">
        <v>161.19999999999999</v>
      </c>
      <c r="AB18" s="9">
        <v>164.7</v>
      </c>
      <c r="AC18" s="9">
        <v>163</v>
      </c>
      <c r="AD18" s="9">
        <v>162.69999999999999</v>
      </c>
    </row>
    <row r="19" spans="2:30" x14ac:dyDescent="0.25">
      <c r="B19" s="11">
        <v>2022</v>
      </c>
      <c r="C19" s="11" t="s">
        <v>35</v>
      </c>
      <c r="D19">
        <v>102317.68803371425</v>
      </c>
      <c r="E19" s="9">
        <v>150</v>
      </c>
      <c r="F19" s="9">
        <v>200.6</v>
      </c>
      <c r="G19" s="9">
        <v>175.8</v>
      </c>
      <c r="H19" s="9">
        <v>160.69999999999999</v>
      </c>
      <c r="I19" s="9">
        <v>184.9</v>
      </c>
      <c r="J19" s="9">
        <v>153.69999999999999</v>
      </c>
      <c r="K19" s="9">
        <v>169.7</v>
      </c>
      <c r="L19" s="9">
        <v>163.69999999999999</v>
      </c>
      <c r="M19" s="9">
        <v>118.9</v>
      </c>
      <c r="N19" s="9">
        <v>174.3</v>
      </c>
      <c r="O19" s="9">
        <v>164.7</v>
      </c>
      <c r="P19" s="9">
        <v>178</v>
      </c>
      <c r="Q19" s="9">
        <v>166.2</v>
      </c>
      <c r="R19" s="9">
        <v>192.8</v>
      </c>
      <c r="S19" s="9">
        <v>170.8</v>
      </c>
      <c r="T19" s="9">
        <v>162.4</v>
      </c>
      <c r="U19" s="9">
        <v>169.6</v>
      </c>
      <c r="V19" s="9">
        <v>165.5</v>
      </c>
      <c r="W19" s="9">
        <v>165.7</v>
      </c>
      <c r="X19" s="9">
        <v>161.80000000000001</v>
      </c>
      <c r="Y19" s="9">
        <v>172.2</v>
      </c>
      <c r="Z19" s="9">
        <v>156.9</v>
      </c>
      <c r="AA19" s="9">
        <v>162.1</v>
      </c>
      <c r="AB19" s="9">
        <v>165.4</v>
      </c>
      <c r="AC19" s="9">
        <v>164.4</v>
      </c>
      <c r="AD19" s="9">
        <v>163.5</v>
      </c>
    </row>
    <row r="20" spans="2:30" x14ac:dyDescent="0.25">
      <c r="B20" s="11">
        <v>2022</v>
      </c>
      <c r="C20" s="11" t="s">
        <v>36</v>
      </c>
      <c r="D20">
        <v>134181.47733497745</v>
      </c>
      <c r="E20" s="9">
        <v>151.30000000000001</v>
      </c>
      <c r="F20" s="9">
        <v>210.7</v>
      </c>
      <c r="G20" s="9">
        <v>167.8</v>
      </c>
      <c r="H20" s="9">
        <v>162.19999999999999</v>
      </c>
      <c r="I20" s="9">
        <v>194.6</v>
      </c>
      <c r="J20" s="9">
        <v>157.6</v>
      </c>
      <c r="K20" s="9">
        <v>166.9</v>
      </c>
      <c r="L20" s="9">
        <v>163.9</v>
      </c>
      <c r="M20" s="9">
        <v>118.8</v>
      </c>
      <c r="N20" s="9">
        <v>177.4</v>
      </c>
      <c r="O20" s="9">
        <v>165.3</v>
      </c>
      <c r="P20" s="9">
        <v>179.3</v>
      </c>
      <c r="Q20" s="9">
        <v>168.4</v>
      </c>
      <c r="R20" s="9">
        <v>193.7</v>
      </c>
      <c r="S20" s="9">
        <v>172.1</v>
      </c>
      <c r="T20" s="9">
        <v>164.6</v>
      </c>
      <c r="U20" s="9">
        <v>171.1</v>
      </c>
      <c r="V20" s="9">
        <v>165.3</v>
      </c>
      <c r="W20" s="9">
        <v>167.2</v>
      </c>
      <c r="X20" s="9">
        <v>162.80000000000001</v>
      </c>
      <c r="Y20" s="9">
        <v>173</v>
      </c>
      <c r="Z20" s="9">
        <v>157.9</v>
      </c>
      <c r="AA20" s="9">
        <v>163.30000000000001</v>
      </c>
      <c r="AB20" s="9">
        <v>166</v>
      </c>
      <c r="AC20" s="9">
        <v>167.2</v>
      </c>
      <c r="AD20" s="9">
        <v>164.6</v>
      </c>
    </row>
    <row r="21" spans="2:30" x14ac:dyDescent="0.25">
      <c r="B21" s="11">
        <v>2022</v>
      </c>
      <c r="C21" s="11" t="s">
        <v>37</v>
      </c>
      <c r="D21">
        <v>151257.77739211501</v>
      </c>
      <c r="E21" s="9">
        <v>152.9</v>
      </c>
      <c r="F21" s="9">
        <v>211.8</v>
      </c>
      <c r="G21" s="9">
        <v>164.5</v>
      </c>
      <c r="H21" s="9">
        <v>163.9</v>
      </c>
      <c r="I21" s="9">
        <v>199.5</v>
      </c>
      <c r="J21" s="9">
        <v>172.6</v>
      </c>
      <c r="K21" s="9">
        <v>166.2</v>
      </c>
      <c r="L21" s="9">
        <v>164.7</v>
      </c>
      <c r="M21" s="9">
        <v>119</v>
      </c>
      <c r="N21" s="9">
        <v>181.3</v>
      </c>
      <c r="O21" s="9">
        <v>166.2</v>
      </c>
      <c r="P21" s="9">
        <v>180.9</v>
      </c>
      <c r="Q21" s="9">
        <v>170.8</v>
      </c>
      <c r="R21" s="9">
        <v>193.9</v>
      </c>
      <c r="S21" s="9">
        <v>173.9</v>
      </c>
      <c r="T21" s="9">
        <v>166.5</v>
      </c>
      <c r="U21" s="9">
        <v>172.8</v>
      </c>
      <c r="V21" s="9">
        <v>167</v>
      </c>
      <c r="W21" s="9">
        <v>172.2</v>
      </c>
      <c r="X21" s="9">
        <v>164</v>
      </c>
      <c r="Y21" s="9">
        <v>174</v>
      </c>
      <c r="Z21" s="9">
        <v>162.6</v>
      </c>
      <c r="AA21" s="9">
        <v>164.4</v>
      </c>
      <c r="AB21" s="9">
        <v>166.9</v>
      </c>
      <c r="AC21" s="9">
        <v>168.8</v>
      </c>
      <c r="AD21" s="9">
        <v>166.8</v>
      </c>
    </row>
    <row r="22" spans="2:30" x14ac:dyDescent="0.25">
      <c r="B22" s="11">
        <v>2022</v>
      </c>
      <c r="C22" s="11" t="s">
        <v>38</v>
      </c>
      <c r="D22">
        <v>137781.52369026651</v>
      </c>
      <c r="E22" s="9">
        <v>154.1</v>
      </c>
      <c r="F22" s="9">
        <v>217</v>
      </c>
      <c r="G22" s="9">
        <v>162.4</v>
      </c>
      <c r="H22" s="9">
        <v>164.9</v>
      </c>
      <c r="I22" s="9">
        <v>202.4</v>
      </c>
      <c r="J22" s="9">
        <v>171</v>
      </c>
      <c r="K22" s="9">
        <v>174.9</v>
      </c>
      <c r="L22" s="9">
        <v>164.7</v>
      </c>
      <c r="M22" s="9">
        <v>119.7</v>
      </c>
      <c r="N22" s="9">
        <v>184.9</v>
      </c>
      <c r="O22" s="9">
        <v>167.1</v>
      </c>
      <c r="P22" s="9">
        <v>182.5</v>
      </c>
      <c r="Q22" s="9">
        <v>173.3</v>
      </c>
      <c r="R22" s="9">
        <v>194.1</v>
      </c>
      <c r="S22" s="9">
        <v>175.6</v>
      </c>
      <c r="T22" s="9">
        <v>168.4</v>
      </c>
      <c r="U22" s="9">
        <v>174.6</v>
      </c>
      <c r="V22" s="9">
        <v>167.5</v>
      </c>
      <c r="W22" s="9">
        <v>174.6</v>
      </c>
      <c r="X22" s="9">
        <v>165.2</v>
      </c>
      <c r="Y22" s="9">
        <v>174.8</v>
      </c>
      <c r="Z22" s="9">
        <v>163</v>
      </c>
      <c r="AA22" s="9">
        <v>165.1</v>
      </c>
      <c r="AB22" s="9">
        <v>167.9</v>
      </c>
      <c r="AC22" s="9">
        <v>168.4</v>
      </c>
      <c r="AD22" s="9">
        <v>167.5</v>
      </c>
    </row>
    <row r="23" spans="2:30" x14ac:dyDescent="0.25">
      <c r="B23" s="11">
        <v>2022</v>
      </c>
      <c r="C23" s="11" t="s">
        <v>39</v>
      </c>
      <c r="D23">
        <v>140361.99809642398</v>
      </c>
      <c r="E23" s="9">
        <v>155</v>
      </c>
      <c r="F23" s="9">
        <v>219.4</v>
      </c>
      <c r="G23" s="9">
        <v>170.8</v>
      </c>
      <c r="H23" s="9">
        <v>165.8</v>
      </c>
      <c r="I23" s="9">
        <v>200.9</v>
      </c>
      <c r="J23" s="9">
        <v>169.7</v>
      </c>
      <c r="K23" s="9">
        <v>182.3</v>
      </c>
      <c r="L23" s="9">
        <v>164.3</v>
      </c>
      <c r="M23" s="9">
        <v>119.9</v>
      </c>
      <c r="N23" s="9">
        <v>187.1</v>
      </c>
      <c r="O23" s="9">
        <v>167.9</v>
      </c>
      <c r="P23" s="9">
        <v>183.9</v>
      </c>
      <c r="Q23" s="9">
        <v>174.9</v>
      </c>
      <c r="R23" s="9">
        <v>194.3</v>
      </c>
      <c r="S23" s="9">
        <v>177.1</v>
      </c>
      <c r="T23" s="9">
        <v>169.9</v>
      </c>
      <c r="U23" s="9">
        <v>176</v>
      </c>
      <c r="V23" s="9">
        <v>166.8</v>
      </c>
      <c r="W23" s="9">
        <v>176</v>
      </c>
      <c r="X23" s="9">
        <v>166.4</v>
      </c>
      <c r="Y23" s="9">
        <v>175.4</v>
      </c>
      <c r="Z23" s="9">
        <v>161.1</v>
      </c>
      <c r="AA23" s="9">
        <v>165.8</v>
      </c>
      <c r="AB23" s="9">
        <v>169</v>
      </c>
      <c r="AC23" s="9">
        <v>169.4</v>
      </c>
      <c r="AD23" s="9">
        <v>167.5</v>
      </c>
    </row>
    <row r="24" spans="2:30" x14ac:dyDescent="0.25">
      <c r="B24" s="11">
        <v>2022</v>
      </c>
      <c r="C24" s="11" t="s">
        <v>40</v>
      </c>
      <c r="D24">
        <v>148619.35499624049</v>
      </c>
      <c r="E24" s="9">
        <v>156.5</v>
      </c>
      <c r="F24" s="9">
        <v>213</v>
      </c>
      <c r="G24" s="9">
        <v>175.2</v>
      </c>
      <c r="H24" s="9">
        <v>166.6</v>
      </c>
      <c r="I24" s="9">
        <v>195.8</v>
      </c>
      <c r="J24" s="9">
        <v>174.2</v>
      </c>
      <c r="K24" s="9">
        <v>182.1</v>
      </c>
      <c r="L24" s="9">
        <v>164.3</v>
      </c>
      <c r="M24" s="9">
        <v>120</v>
      </c>
      <c r="N24" s="9">
        <v>190</v>
      </c>
      <c r="O24" s="9">
        <v>168.4</v>
      </c>
      <c r="P24" s="9">
        <v>185.2</v>
      </c>
      <c r="Q24" s="9">
        <v>175</v>
      </c>
      <c r="R24" s="9">
        <v>194.6</v>
      </c>
      <c r="S24" s="9">
        <v>178.3</v>
      </c>
      <c r="T24" s="9">
        <v>171.3</v>
      </c>
      <c r="U24" s="9">
        <v>177.3</v>
      </c>
      <c r="V24" s="9">
        <v>167.8</v>
      </c>
      <c r="W24" s="9">
        <v>179.6</v>
      </c>
      <c r="X24" s="9">
        <v>167.4</v>
      </c>
      <c r="Y24" s="9">
        <v>176.1</v>
      </c>
      <c r="Z24" s="9">
        <v>161.6</v>
      </c>
      <c r="AA24" s="9">
        <v>166.3</v>
      </c>
      <c r="AB24" s="9">
        <v>171.4</v>
      </c>
      <c r="AC24" s="9">
        <v>169.7</v>
      </c>
      <c r="AD24" s="9">
        <v>168.4</v>
      </c>
    </row>
    <row r="25" spans="2:30" x14ac:dyDescent="0.25">
      <c r="B25" s="11">
        <v>2022</v>
      </c>
      <c r="C25" s="11" t="s">
        <v>41</v>
      </c>
      <c r="D25">
        <v>120976.19320076992</v>
      </c>
      <c r="E25" s="9">
        <v>160.30000000000001</v>
      </c>
      <c r="F25" s="9">
        <v>206.5</v>
      </c>
      <c r="G25" s="9">
        <v>169.2</v>
      </c>
      <c r="H25" s="9">
        <v>168.1</v>
      </c>
      <c r="I25" s="9">
        <v>192.4</v>
      </c>
      <c r="J25" s="9">
        <v>172.9</v>
      </c>
      <c r="K25" s="9">
        <v>186.7</v>
      </c>
      <c r="L25" s="9">
        <v>167.2</v>
      </c>
      <c r="M25" s="9">
        <v>120.9</v>
      </c>
      <c r="N25" s="9">
        <v>193.6</v>
      </c>
      <c r="O25" s="9">
        <v>168.8</v>
      </c>
      <c r="P25" s="9">
        <v>186.3</v>
      </c>
      <c r="Q25" s="9">
        <v>176.3</v>
      </c>
      <c r="R25" s="9">
        <v>195</v>
      </c>
      <c r="S25" s="9">
        <v>179.5</v>
      </c>
      <c r="T25" s="9">
        <v>172.7</v>
      </c>
      <c r="U25" s="9">
        <v>178.5</v>
      </c>
      <c r="V25" s="9">
        <v>169</v>
      </c>
      <c r="W25" s="9">
        <v>178.8</v>
      </c>
      <c r="X25" s="9">
        <v>168.5</v>
      </c>
      <c r="Y25" s="9">
        <v>176.8</v>
      </c>
      <c r="Z25" s="9">
        <v>161.9</v>
      </c>
      <c r="AA25" s="9">
        <v>166.9</v>
      </c>
      <c r="AB25" s="9">
        <v>172.3</v>
      </c>
      <c r="AC25" s="9">
        <v>171.2</v>
      </c>
      <c r="AD25" s="9">
        <v>169.1</v>
      </c>
    </row>
    <row r="26" spans="2:30" x14ac:dyDescent="0.25">
      <c r="B26" s="11">
        <v>2022</v>
      </c>
      <c r="C26" s="11" t="s">
        <v>42</v>
      </c>
      <c r="D26">
        <v>110015.88104199871</v>
      </c>
      <c r="E26" s="9">
        <v>163.5</v>
      </c>
      <c r="F26" s="9">
        <v>209.2</v>
      </c>
      <c r="G26" s="9">
        <v>169.7</v>
      </c>
      <c r="H26" s="9">
        <v>169.7</v>
      </c>
      <c r="I26" s="9">
        <v>188.7</v>
      </c>
      <c r="J26" s="9">
        <v>165.7</v>
      </c>
      <c r="K26" s="9">
        <v>191.8</v>
      </c>
      <c r="L26" s="9">
        <v>169.1</v>
      </c>
      <c r="M26" s="9">
        <v>121.6</v>
      </c>
      <c r="N26" s="9">
        <v>197.3</v>
      </c>
      <c r="O26" s="9">
        <v>169.4</v>
      </c>
      <c r="P26" s="9">
        <v>187.4</v>
      </c>
      <c r="Q26" s="9">
        <v>177.8</v>
      </c>
      <c r="R26" s="9">
        <v>195.9</v>
      </c>
      <c r="S26" s="9">
        <v>180.9</v>
      </c>
      <c r="T26" s="9">
        <v>174.3</v>
      </c>
      <c r="U26" s="9">
        <v>179.9</v>
      </c>
      <c r="V26" s="9">
        <v>169.5</v>
      </c>
      <c r="W26" s="9">
        <v>179.5</v>
      </c>
      <c r="X26" s="9">
        <v>169.5</v>
      </c>
      <c r="Y26" s="9">
        <v>177.8</v>
      </c>
      <c r="Z26" s="9">
        <v>162.30000000000001</v>
      </c>
      <c r="AA26" s="9">
        <v>167.6</v>
      </c>
      <c r="AB26" s="9">
        <v>173.1</v>
      </c>
      <c r="AC26" s="9">
        <v>170.9</v>
      </c>
      <c r="AD26" s="9">
        <v>169.7</v>
      </c>
    </row>
    <row r="27" spans="2:30" x14ac:dyDescent="0.25">
      <c r="B27" s="11">
        <v>2022</v>
      </c>
      <c r="C27" s="11" t="s">
        <v>43</v>
      </c>
      <c r="D27">
        <v>116548.19734168371</v>
      </c>
      <c r="E27" s="9">
        <v>165.2</v>
      </c>
      <c r="F27" s="9">
        <v>210.9</v>
      </c>
      <c r="G27" s="9">
        <v>170.9</v>
      </c>
      <c r="H27" s="9">
        <v>170.9</v>
      </c>
      <c r="I27" s="9">
        <v>186.5</v>
      </c>
      <c r="J27" s="9">
        <v>163.80000000000001</v>
      </c>
      <c r="K27" s="9">
        <v>199.7</v>
      </c>
      <c r="L27" s="9">
        <v>169.8</v>
      </c>
      <c r="M27" s="9">
        <v>121.9</v>
      </c>
      <c r="N27" s="9">
        <v>199.9</v>
      </c>
      <c r="O27" s="9">
        <v>169.9</v>
      </c>
      <c r="P27" s="9">
        <v>188.3</v>
      </c>
      <c r="Q27" s="9">
        <v>179.6</v>
      </c>
      <c r="R27" s="9">
        <v>196.3</v>
      </c>
      <c r="S27" s="9">
        <v>181.9</v>
      </c>
      <c r="T27" s="9">
        <v>175.3</v>
      </c>
      <c r="U27" s="9">
        <v>181</v>
      </c>
      <c r="V27" s="9">
        <v>171.2</v>
      </c>
      <c r="W27" s="9">
        <v>180.5</v>
      </c>
      <c r="X27" s="9">
        <v>170.4</v>
      </c>
      <c r="Y27" s="9">
        <v>178.7</v>
      </c>
      <c r="Z27" s="9">
        <v>162.9</v>
      </c>
      <c r="AA27" s="9">
        <v>168.2</v>
      </c>
      <c r="AB27" s="9">
        <v>173.4</v>
      </c>
      <c r="AC27" s="9">
        <v>172.1</v>
      </c>
      <c r="AD27" s="9">
        <v>170.5</v>
      </c>
    </row>
    <row r="28" spans="2:30" x14ac:dyDescent="0.25">
      <c r="B28" s="11">
        <v>2022</v>
      </c>
      <c r="C28" s="11" t="s">
        <v>45</v>
      </c>
      <c r="D28">
        <v>118277.27620134089</v>
      </c>
      <c r="E28" s="9">
        <v>167.4</v>
      </c>
      <c r="F28" s="9">
        <v>209.4</v>
      </c>
      <c r="G28" s="9">
        <v>181.4</v>
      </c>
      <c r="H28" s="9">
        <v>172.3</v>
      </c>
      <c r="I28" s="9">
        <v>188.9</v>
      </c>
      <c r="J28" s="9">
        <v>160.69999999999999</v>
      </c>
      <c r="K28" s="9">
        <v>183.1</v>
      </c>
      <c r="L28" s="9">
        <v>170.5</v>
      </c>
      <c r="M28" s="9">
        <v>122.1</v>
      </c>
      <c r="N28" s="9">
        <v>202.8</v>
      </c>
      <c r="O28" s="9">
        <v>170.4</v>
      </c>
      <c r="P28" s="9">
        <v>189.5</v>
      </c>
      <c r="Q28" s="9">
        <v>178.3</v>
      </c>
      <c r="R28" s="9">
        <v>196.9</v>
      </c>
      <c r="S28" s="9">
        <v>183.1</v>
      </c>
      <c r="T28" s="9">
        <v>176.2</v>
      </c>
      <c r="U28" s="9">
        <v>182.1</v>
      </c>
      <c r="V28" s="9">
        <v>171.8</v>
      </c>
      <c r="W28" s="9">
        <v>181.3</v>
      </c>
      <c r="X28" s="9">
        <v>171.4</v>
      </c>
      <c r="Y28" s="9">
        <v>179.8</v>
      </c>
      <c r="Z28" s="9">
        <v>163</v>
      </c>
      <c r="AA28" s="9">
        <v>168.5</v>
      </c>
      <c r="AB28" s="9">
        <v>173.7</v>
      </c>
      <c r="AC28" s="9">
        <v>173.6</v>
      </c>
      <c r="AD28" s="9">
        <v>171.1</v>
      </c>
    </row>
    <row r="29" spans="2:30" x14ac:dyDescent="0.25">
      <c r="B29" s="11">
        <v>2022</v>
      </c>
      <c r="C29" s="11" t="s">
        <v>46</v>
      </c>
      <c r="D29">
        <v>112095.477543425</v>
      </c>
      <c r="E29" s="9">
        <v>169.2</v>
      </c>
      <c r="F29" s="9">
        <v>209</v>
      </c>
      <c r="G29" s="9">
        <v>190.2</v>
      </c>
      <c r="H29" s="9">
        <v>173.6</v>
      </c>
      <c r="I29" s="9">
        <v>188.5</v>
      </c>
      <c r="J29" s="9">
        <v>158</v>
      </c>
      <c r="K29" s="9">
        <v>159.9</v>
      </c>
      <c r="L29" s="9">
        <v>170.8</v>
      </c>
      <c r="M29" s="9">
        <v>121.8</v>
      </c>
      <c r="N29" s="9">
        <v>205.2</v>
      </c>
      <c r="O29" s="9">
        <v>171</v>
      </c>
      <c r="P29" s="9">
        <v>190.3</v>
      </c>
      <c r="Q29" s="9">
        <v>175.9</v>
      </c>
      <c r="R29" s="9">
        <v>197.3</v>
      </c>
      <c r="S29" s="9">
        <v>184</v>
      </c>
      <c r="T29" s="9">
        <v>177</v>
      </c>
      <c r="U29" s="9">
        <v>183</v>
      </c>
      <c r="V29" s="9">
        <v>170.7</v>
      </c>
      <c r="W29" s="9">
        <v>182</v>
      </c>
      <c r="X29" s="9">
        <v>172.1</v>
      </c>
      <c r="Y29" s="9">
        <v>181.1</v>
      </c>
      <c r="Z29" s="9">
        <v>163.4</v>
      </c>
      <c r="AA29" s="9">
        <v>168.9</v>
      </c>
      <c r="AB29" s="9">
        <v>174.1</v>
      </c>
      <c r="AC29" s="9">
        <v>175.8</v>
      </c>
      <c r="AD29" s="9">
        <v>172</v>
      </c>
    </row>
    <row r="30" spans="2:30" x14ac:dyDescent="0.25">
      <c r="B30" s="11">
        <v>2023</v>
      </c>
      <c r="C30" s="11" t="s">
        <v>31</v>
      </c>
      <c r="D30">
        <v>108892.9652336391</v>
      </c>
      <c r="E30" s="9">
        <v>173.8</v>
      </c>
      <c r="F30" s="9">
        <v>210.7</v>
      </c>
      <c r="G30" s="9">
        <v>194.5</v>
      </c>
      <c r="H30" s="9">
        <v>174.6</v>
      </c>
      <c r="I30" s="9">
        <v>187.2</v>
      </c>
      <c r="J30" s="9">
        <v>158.30000000000001</v>
      </c>
      <c r="K30" s="9">
        <v>153.9</v>
      </c>
      <c r="L30" s="9">
        <v>170.9</v>
      </c>
      <c r="M30" s="9">
        <v>121.1</v>
      </c>
      <c r="N30" s="9">
        <v>208.4</v>
      </c>
      <c r="O30" s="9">
        <v>171.4</v>
      </c>
      <c r="P30" s="9">
        <v>191.2</v>
      </c>
      <c r="Q30" s="9">
        <v>176.7</v>
      </c>
      <c r="R30" s="9">
        <v>198.2</v>
      </c>
      <c r="S30" s="9">
        <v>184.9</v>
      </c>
      <c r="T30" s="9">
        <v>177.6</v>
      </c>
      <c r="U30" s="9">
        <v>183.8</v>
      </c>
      <c r="V30" s="9">
        <v>172.1</v>
      </c>
      <c r="W30" s="9">
        <v>182</v>
      </c>
      <c r="X30" s="9">
        <v>172.9</v>
      </c>
      <c r="Y30" s="9">
        <v>182.3</v>
      </c>
      <c r="Z30" s="9">
        <v>163.6</v>
      </c>
      <c r="AA30" s="9">
        <v>169.5</v>
      </c>
      <c r="AB30" s="9">
        <v>174.3</v>
      </c>
      <c r="AC30" s="9">
        <v>178.6</v>
      </c>
      <c r="AD30" s="9">
        <v>172.8</v>
      </c>
    </row>
    <row r="31" spans="2:30" x14ac:dyDescent="0.25">
      <c r="B31" s="11">
        <v>2023</v>
      </c>
      <c r="C31" s="11" t="s">
        <v>35</v>
      </c>
      <c r="D31">
        <v>103743.50619254357</v>
      </c>
      <c r="E31" s="9">
        <v>174.4</v>
      </c>
      <c r="F31" s="9">
        <v>207.7</v>
      </c>
      <c r="G31" s="9">
        <v>175.2</v>
      </c>
      <c r="H31" s="9">
        <v>177.3</v>
      </c>
      <c r="I31" s="9">
        <v>179.3</v>
      </c>
      <c r="J31" s="9">
        <v>169.5</v>
      </c>
      <c r="K31" s="9">
        <v>152.69999999999999</v>
      </c>
      <c r="L31" s="9">
        <v>171</v>
      </c>
      <c r="M31" s="9">
        <v>120</v>
      </c>
      <c r="N31" s="9">
        <v>209.7</v>
      </c>
      <c r="O31" s="9">
        <v>172.3</v>
      </c>
      <c r="P31" s="9">
        <v>193</v>
      </c>
      <c r="Q31" s="9">
        <v>177</v>
      </c>
      <c r="R31" s="9">
        <v>199.5</v>
      </c>
      <c r="S31" s="9">
        <v>186.2</v>
      </c>
      <c r="T31" s="9">
        <v>178.7</v>
      </c>
      <c r="U31" s="9">
        <v>185.1</v>
      </c>
      <c r="V31" s="9">
        <v>173.5</v>
      </c>
      <c r="W31" s="9">
        <v>182.1</v>
      </c>
      <c r="X31" s="9">
        <v>174.2</v>
      </c>
      <c r="Y31" s="9">
        <v>184.4</v>
      </c>
      <c r="Z31" s="9">
        <v>164.2</v>
      </c>
      <c r="AA31" s="9">
        <v>170.3</v>
      </c>
      <c r="AB31" s="9">
        <v>175</v>
      </c>
      <c r="AC31" s="9">
        <v>181</v>
      </c>
      <c r="AD31" s="9">
        <v>174.1</v>
      </c>
    </row>
    <row r="32" spans="2:30" x14ac:dyDescent="0.25">
      <c r="B32" s="11">
        <v>2023</v>
      </c>
      <c r="C32" s="11" t="s">
        <v>36</v>
      </c>
      <c r="D32">
        <v>107655.66151560735</v>
      </c>
      <c r="E32" s="9">
        <v>174.4</v>
      </c>
      <c r="F32" s="9">
        <v>207.7</v>
      </c>
      <c r="G32" s="9">
        <v>175.2</v>
      </c>
      <c r="H32" s="9">
        <v>177.3</v>
      </c>
      <c r="I32" s="9">
        <v>179.2</v>
      </c>
      <c r="J32" s="9">
        <v>169.5</v>
      </c>
      <c r="K32" s="9">
        <v>152.80000000000001</v>
      </c>
      <c r="L32" s="9">
        <v>171.1</v>
      </c>
      <c r="M32" s="9">
        <v>120</v>
      </c>
      <c r="N32" s="9">
        <v>209.7</v>
      </c>
      <c r="O32" s="9">
        <v>172.3</v>
      </c>
      <c r="P32" s="9">
        <v>193</v>
      </c>
      <c r="Q32" s="9">
        <v>177</v>
      </c>
      <c r="R32" s="9">
        <v>199.5</v>
      </c>
      <c r="S32" s="9">
        <v>186.1</v>
      </c>
      <c r="T32" s="9">
        <v>178.7</v>
      </c>
      <c r="U32" s="9">
        <v>185.1</v>
      </c>
      <c r="V32" s="9">
        <v>173.5</v>
      </c>
      <c r="W32" s="9">
        <v>181.9</v>
      </c>
      <c r="X32" s="9">
        <v>174.2</v>
      </c>
      <c r="Y32" s="9">
        <v>184.4</v>
      </c>
      <c r="Z32" s="9">
        <v>164.2</v>
      </c>
      <c r="AA32" s="9">
        <v>170.3</v>
      </c>
      <c r="AB32" s="9">
        <v>175</v>
      </c>
      <c r="AC32" s="9">
        <v>181</v>
      </c>
      <c r="AD32" s="9">
        <v>174.1</v>
      </c>
    </row>
    <row r="33" spans="2:30" x14ac:dyDescent="0.25">
      <c r="B33" s="11">
        <v>2023</v>
      </c>
      <c r="C33" s="11" t="s">
        <v>37</v>
      </c>
      <c r="D33">
        <v>101210.18326534321</v>
      </c>
      <c r="E33" s="9">
        <v>173.8</v>
      </c>
      <c r="F33" s="9">
        <v>209.3</v>
      </c>
      <c r="G33" s="9">
        <v>169.6</v>
      </c>
      <c r="H33" s="9">
        <v>178.4</v>
      </c>
      <c r="I33" s="9">
        <v>174.9</v>
      </c>
      <c r="J33" s="9">
        <v>176.3</v>
      </c>
      <c r="K33" s="9">
        <v>155.4</v>
      </c>
      <c r="L33" s="9">
        <v>173.4</v>
      </c>
      <c r="M33" s="9">
        <v>121.3</v>
      </c>
      <c r="N33" s="9">
        <v>212.9</v>
      </c>
      <c r="O33" s="9">
        <v>172.9</v>
      </c>
      <c r="P33" s="9">
        <v>193.5</v>
      </c>
      <c r="Q33" s="9">
        <v>177.9</v>
      </c>
      <c r="R33" s="9">
        <v>200.6</v>
      </c>
      <c r="S33" s="9">
        <v>186.9</v>
      </c>
      <c r="T33" s="9">
        <v>179.2</v>
      </c>
      <c r="U33" s="9">
        <v>185.7</v>
      </c>
      <c r="V33" s="9">
        <v>175.2</v>
      </c>
      <c r="W33" s="9">
        <v>181.7</v>
      </c>
      <c r="X33" s="9">
        <v>174.6</v>
      </c>
      <c r="Y33" s="9">
        <v>185</v>
      </c>
      <c r="Z33" s="9">
        <v>164.5</v>
      </c>
      <c r="AA33" s="9">
        <v>170.7</v>
      </c>
      <c r="AB33" s="9">
        <v>176.4</v>
      </c>
      <c r="AC33" s="9">
        <v>184</v>
      </c>
      <c r="AD33" s="9">
        <v>175</v>
      </c>
    </row>
    <row r="34" spans="2:30" x14ac:dyDescent="0.25">
      <c r="B34" s="11">
        <v>2023</v>
      </c>
      <c r="C34" s="11" t="s">
        <v>38</v>
      </c>
      <c r="D34">
        <v>103486.66840899385</v>
      </c>
      <c r="E34" s="9">
        <v>173.7</v>
      </c>
      <c r="F34" s="9">
        <v>214.3</v>
      </c>
      <c r="G34" s="9">
        <v>173.2</v>
      </c>
      <c r="H34" s="9">
        <v>179.5</v>
      </c>
      <c r="I34" s="9">
        <v>170</v>
      </c>
      <c r="J34" s="9">
        <v>172.2</v>
      </c>
      <c r="K34" s="9">
        <v>161</v>
      </c>
      <c r="L34" s="9">
        <v>175.6</v>
      </c>
      <c r="M34" s="9">
        <v>122.7</v>
      </c>
      <c r="N34" s="9">
        <v>218</v>
      </c>
      <c r="O34" s="9">
        <v>173.4</v>
      </c>
      <c r="P34" s="9">
        <v>194.2</v>
      </c>
      <c r="Q34" s="9">
        <v>179.1</v>
      </c>
      <c r="R34" s="9">
        <v>201</v>
      </c>
      <c r="S34" s="9">
        <v>187.3</v>
      </c>
      <c r="T34" s="9">
        <v>179.7</v>
      </c>
      <c r="U34" s="9">
        <v>186.2</v>
      </c>
      <c r="V34" s="9">
        <v>175.6</v>
      </c>
      <c r="W34" s="9">
        <v>182.8</v>
      </c>
      <c r="X34" s="9">
        <v>175.2</v>
      </c>
      <c r="Y34" s="9">
        <v>185.7</v>
      </c>
      <c r="Z34" s="9">
        <v>164.8</v>
      </c>
      <c r="AA34" s="9">
        <v>171.2</v>
      </c>
      <c r="AB34" s="9">
        <v>177.1</v>
      </c>
      <c r="AC34" s="9">
        <v>185.2</v>
      </c>
      <c r="AD34" s="9">
        <v>175.7</v>
      </c>
    </row>
    <row r="35" spans="2:30" x14ac:dyDescent="0.25">
      <c r="D35" t="s">
        <v>88</v>
      </c>
      <c r="E35">
        <f>CORREL(E6:E34,$D$6:$D$34)</f>
        <v>0.43987122593443262</v>
      </c>
      <c r="F35">
        <f t="shared" ref="F35:AD35" si="0">CORREL(F6:F34,$D$6:$D$34)</f>
        <v>0.79268301824065446</v>
      </c>
      <c r="G35">
        <f t="shared" si="0"/>
        <v>-8.3046590697356121E-2</v>
      </c>
      <c r="H35">
        <f t="shared" si="0"/>
        <v>0.52771328180036647</v>
      </c>
      <c r="I35">
        <f t="shared" si="0"/>
        <v>0.75142910168854082</v>
      </c>
      <c r="J35">
        <f t="shared" si="0"/>
        <v>0.5253885312081723</v>
      </c>
      <c r="K35">
        <f t="shared" si="0"/>
        <v>0.32872482782704315</v>
      </c>
      <c r="L35">
        <f t="shared" si="0"/>
        <v>0.32248816651061057</v>
      </c>
      <c r="M35">
        <f t="shared" si="0"/>
        <v>0.60891818986860835</v>
      </c>
      <c r="N35">
        <f t="shared" si="0"/>
        <v>0.51227601850256299</v>
      </c>
      <c r="O35">
        <f t="shared" si="0"/>
        <v>0.67563173416540223</v>
      </c>
      <c r="P35">
        <f t="shared" si="0"/>
        <v>0.63528538231225018</v>
      </c>
      <c r="Q35">
        <f t="shared" si="0"/>
        <v>0.70967053178100881</v>
      </c>
      <c r="R35">
        <f t="shared" si="0"/>
        <v>0.5322553824571401</v>
      </c>
      <c r="S35">
        <f t="shared" si="0"/>
        <v>0.66726192821333341</v>
      </c>
      <c r="T35">
        <f t="shared" si="0"/>
        <v>0.69238471842336602</v>
      </c>
      <c r="U35">
        <f t="shared" si="0"/>
        <v>0.67151996944592118</v>
      </c>
      <c r="V35">
        <f t="shared" si="0"/>
        <v>0.58260754054158548</v>
      </c>
      <c r="W35">
        <f t="shared" si="0"/>
        <v>0.71027192860202093</v>
      </c>
      <c r="X35">
        <f t="shared" si="0"/>
        <v>0.6542215219876566</v>
      </c>
      <c r="Y35">
        <f t="shared" si="0"/>
        <v>0.6183374191219887</v>
      </c>
      <c r="Z35">
        <f t="shared" si="0"/>
        <v>0.77857772043702822</v>
      </c>
      <c r="AA35">
        <f t="shared" si="0"/>
        <v>0.72403484176045285</v>
      </c>
      <c r="AB35">
        <f t="shared" si="0"/>
        <v>0.59613394654076424</v>
      </c>
      <c r="AC35">
        <f t="shared" si="0"/>
        <v>0.55910184666469454</v>
      </c>
      <c r="AD35">
        <f t="shared" si="0"/>
        <v>0.67548161234849602</v>
      </c>
    </row>
    <row r="37" spans="2:30" x14ac:dyDescent="0.25">
      <c r="C37" s="9"/>
    </row>
    <row r="38" spans="2:30" x14ac:dyDescent="0.25">
      <c r="C38" s="4" t="s">
        <v>3</v>
      </c>
      <c r="D38" s="25">
        <v>0.43987122593443262</v>
      </c>
    </row>
    <row r="39" spans="2:30" x14ac:dyDescent="0.25">
      <c r="C39" s="30" t="s">
        <v>4</v>
      </c>
      <c r="D39" s="31">
        <v>0.79268301824065446</v>
      </c>
    </row>
    <row r="40" spans="2:30" x14ac:dyDescent="0.25">
      <c r="C40" s="4" t="s">
        <v>5</v>
      </c>
      <c r="D40" s="25">
        <v>-8.3046590697356121E-2</v>
      </c>
    </row>
    <row r="41" spans="2:30" x14ac:dyDescent="0.25">
      <c r="C41" s="4" t="s">
        <v>6</v>
      </c>
      <c r="D41" s="25">
        <v>0.52771328180036647</v>
      </c>
    </row>
    <row r="42" spans="2:30" x14ac:dyDescent="0.25">
      <c r="C42" s="4" t="s">
        <v>7</v>
      </c>
      <c r="D42" s="25">
        <v>0.75142910168854082</v>
      </c>
    </row>
    <row r="43" spans="2:30" x14ac:dyDescent="0.25">
      <c r="C43" s="4" t="s">
        <v>8</v>
      </c>
      <c r="D43" s="25">
        <v>0.5253885312081723</v>
      </c>
    </row>
    <row r="44" spans="2:30" x14ac:dyDescent="0.25">
      <c r="C44" s="4" t="s">
        <v>9</v>
      </c>
      <c r="D44" s="25">
        <v>0.32872482782704315</v>
      </c>
    </row>
    <row r="45" spans="2:30" x14ac:dyDescent="0.25">
      <c r="C45" s="4" t="s">
        <v>10</v>
      </c>
      <c r="D45" s="25">
        <v>0.32248816651061057</v>
      </c>
    </row>
    <row r="46" spans="2:30" x14ac:dyDescent="0.25">
      <c r="C46" s="4" t="s">
        <v>11</v>
      </c>
      <c r="D46" s="25">
        <v>0.60891818986860835</v>
      </c>
    </row>
    <row r="47" spans="2:30" x14ac:dyDescent="0.25">
      <c r="C47" s="4" t="s">
        <v>12</v>
      </c>
      <c r="D47" s="25">
        <v>0.51227601850256299</v>
      </c>
    </row>
    <row r="48" spans="2:30" x14ac:dyDescent="0.25">
      <c r="C48" s="4" t="s">
        <v>13</v>
      </c>
      <c r="D48" s="25">
        <v>0.67563173416540223</v>
      </c>
    </row>
    <row r="49" spans="3:4" x14ac:dyDescent="0.25">
      <c r="C49" s="4" t="s">
        <v>14</v>
      </c>
      <c r="D49" s="25">
        <v>0.63528538231225018</v>
      </c>
    </row>
    <row r="50" spans="3:4" x14ac:dyDescent="0.25">
      <c r="C50" s="4" t="s">
        <v>15</v>
      </c>
      <c r="D50" s="25">
        <v>0.70967053178100881</v>
      </c>
    </row>
    <row r="51" spans="3:4" x14ac:dyDescent="0.25">
      <c r="C51" s="4" t="s">
        <v>16</v>
      </c>
      <c r="D51" s="25">
        <v>0.5322553824571401</v>
      </c>
    </row>
    <row r="52" spans="3:4" x14ac:dyDescent="0.25">
      <c r="C52" s="4" t="s">
        <v>17</v>
      </c>
      <c r="D52" s="25">
        <v>0.66726192821333341</v>
      </c>
    </row>
    <row r="53" spans="3:4" x14ac:dyDescent="0.25">
      <c r="C53" s="4" t="s">
        <v>18</v>
      </c>
      <c r="D53" s="25">
        <v>0.69238471842336602</v>
      </c>
    </row>
    <row r="54" spans="3:4" x14ac:dyDescent="0.25">
      <c r="C54" s="4" t="s">
        <v>19</v>
      </c>
      <c r="D54" s="25">
        <v>0.67151996944592118</v>
      </c>
    </row>
    <row r="55" spans="3:4" x14ac:dyDescent="0.25">
      <c r="C55" s="4" t="s">
        <v>20</v>
      </c>
      <c r="D55" s="25">
        <v>0.58260754054158548</v>
      </c>
    </row>
    <row r="56" spans="3:4" x14ac:dyDescent="0.25">
      <c r="C56" s="4" t="s">
        <v>21</v>
      </c>
      <c r="D56" s="25">
        <v>0.71027192860202093</v>
      </c>
    </row>
    <row r="57" spans="3:4" x14ac:dyDescent="0.25">
      <c r="C57" s="4" t="s">
        <v>22</v>
      </c>
      <c r="D57" s="25">
        <v>0.6542215219876566</v>
      </c>
    </row>
    <row r="58" spans="3:4" x14ac:dyDescent="0.25">
      <c r="C58" s="4" t="s">
        <v>23</v>
      </c>
      <c r="D58" s="25">
        <v>0.6183374191219887</v>
      </c>
    </row>
    <row r="59" spans="3:4" x14ac:dyDescent="0.25">
      <c r="C59" s="30" t="s">
        <v>24</v>
      </c>
      <c r="D59" s="31">
        <v>0.77857772043702822</v>
      </c>
    </row>
    <row r="60" spans="3:4" x14ac:dyDescent="0.25">
      <c r="C60" s="4" t="s">
        <v>25</v>
      </c>
      <c r="D60" s="25">
        <v>0.72403484176045285</v>
      </c>
    </row>
    <row r="61" spans="3:4" x14ac:dyDescent="0.25">
      <c r="C61" s="4" t="s">
        <v>26</v>
      </c>
      <c r="D61" s="25">
        <v>0.59613394654076424</v>
      </c>
    </row>
    <row r="62" spans="3:4" x14ac:dyDescent="0.25">
      <c r="C62" s="4" t="s">
        <v>27</v>
      </c>
      <c r="D62" s="25">
        <v>0.55910184666469454</v>
      </c>
    </row>
    <row r="63" spans="3:4" x14ac:dyDescent="0.25">
      <c r="C63" s="4" t="s">
        <v>28</v>
      </c>
      <c r="D63" s="25">
        <v>0.67548161234849602</v>
      </c>
    </row>
  </sheetData>
  <phoneticPr fontId="2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All_India_Index_Upto_April23</vt:lpstr>
      <vt:lpstr>All_India_Index_Upto_April copy</vt:lpstr>
      <vt:lpstr>Question-1</vt:lpstr>
      <vt:lpstr>Question-2.0</vt:lpstr>
      <vt:lpstr>DASHBOARD</vt:lpstr>
      <vt:lpstr>Question-2</vt:lpstr>
      <vt:lpstr>Question-3</vt:lpstr>
      <vt:lpstr>Question-4</vt:lpstr>
      <vt:lpstr>Question-5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2025-12-29T16:50:05Z</dcterms:created>
  <dcterms:modified xsi:type="dcterms:W3CDTF">2026-01-20T15:49:26Z</dcterms:modified>
</cp:coreProperties>
</file>